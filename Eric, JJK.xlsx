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alculos" sheetId="1" r:id="rId5"/>
    <sheet state="visible" name="Ficha Pessoal" sheetId="2" r:id="rId6"/>
    <sheet state="visible" name="Registro e Inventário" sheetId="3" r:id="rId7"/>
    <sheet state="visible" name="Perfil Amaldiçoado" sheetId="4" r:id="rId8"/>
    <sheet state="visible" name="Invocações" sheetId="5" r:id="rId9"/>
    <sheet state="visible" name="Treinamentos" sheetId="6" r:id="rId10"/>
  </sheets>
  <definedNames>
    <definedName name="For">'Ficha Pessoal'!$D$10</definedName>
    <definedName name="Sab">'Ficha Pessoal'!$H$14</definedName>
    <definedName name="BT">'Ficha Pessoal'!$BH$3</definedName>
    <definedName name="Int">'Ficha Pessoal'!$D$14</definedName>
    <definedName name="Des">'Ficha Pessoal'!$H$10</definedName>
    <definedName name="Pre">'Ficha Pessoal'!$L$14</definedName>
    <definedName name="Con">'Ficha Pessoal'!$L$10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atributos de clã: destreza e presença
Pericias do clã: Historia, percepção e intimidação
Habilidade de clã: ganha treinamento espada longas e ganha um bonus de acerto +2 que nos niveis 5, 10, 15 e 20 aumenta em +1.</t>
      </text>
    </comment>
    <comment authorId="0" ref="BK2">
      <text>
        <t xml:space="preserve">Esta nota é um exemplo!</t>
      </text>
    </comment>
    <comment authorId="0" ref="X6">
      <text>
        <t xml:space="preserve">Físico Controlado é automatizado, sendo necessário apenas por seu nome inteiro na parte de habilidades e talentos.</t>
      </text>
    </comment>
    <comment authorId="0" ref="R7">
      <text>
        <t xml:space="preserve">Quantidade de Vida perdida.
Não mexa na Vida Atual nem na Máxima</t>
      </text>
    </comment>
    <comment authorId="0" ref="X7">
      <text>
        <t xml:space="preserve">Efeito da Origem Kamo. Tudo está automatizado, menos os dados de vida.</t>
      </text>
    </comment>
    <comment authorId="0" ref="AP7">
      <text>
        <t xml:space="preserve">Quantidade de Integridade perdida.
Não mexa na Integridade Atual nem na Máxima
Perdas na Integridade reduzem pontos de vida atuais.</t>
      </text>
    </comment>
    <comment authorId="0" ref="O8">
      <text>
        <t xml:space="preserve">Não mexa nesta cédula</t>
      </text>
    </comment>
    <comment authorId="0" ref="U8">
      <text>
        <t xml:space="preserve">Caso você seja um Suporte e possua a Habilidade de Especialização "Físico Controlado", escreva seu nome corretamente em Habilidades e Talentos para garantir o aumento correto.</t>
      </text>
    </comment>
    <comment authorId="0" ref="X8">
      <text>
        <t xml:space="preserve">O bônus de Fortitude já está automatizado</t>
      </text>
    </comment>
    <comment authorId="0" ref="AM8">
      <text>
        <t xml:space="preserve">Não mexa nesta cédula</t>
      </text>
    </comment>
    <comment authorId="0" ref="AS8">
      <text>
        <t xml:space="preserve">Não mexa nesta cédula</t>
      </text>
    </comment>
    <comment authorId="0" ref="X9">
      <text>
        <t xml:space="preserve">Desenvolvimento Exagerado de Feto Amaldiçoado</t>
      </text>
    </comment>
    <comment authorId="0" ref="BH9">
      <text>
        <t xml:space="preserve">Você é treinado para controlar Invocações com maior
eficiência. Ao obter esta habilidade, você:
• Recebe duas Invocações iniciais, as quais podem ser tanto shikigamis quanto
corpos amaldiçoados. Nos níveis 3, 6, 9, 10, 12, 15 e 18 você recebe uma
Invocação adicional.
• A quantidade de Invocações que você pode manter ativas em
campo aumenta em 1.
• Nos níveis 6, 12 e 18 a quantidade de comandos que você
realiza com uma Ação Comum e Bônus aumenta em um (no
nível 6, uma Ação Comum permitiria duas Invocações
realizarem uma ação complexa ou uma Invocação
realizar duas ações complexas).</t>
      </text>
    </comment>
    <comment authorId="0" ref="X10">
      <text>
        <t xml:space="preserve">Vigor Infindável de Restringido. 
Apenas os Pontos de Estamina não estão automatizados.</t>
      </text>
    </comment>
    <comment authorId="0" ref="BH10">
      <text>
        <t xml:space="preserve">Você decide se versar em técnicas
essenciais de combate, em busca de
conseguir se defender em casos extremos.
Você pode escolher duas armas quaisquer
para se tornar treinado, caso não seja, e
para poder utilizar Presença ou Sabedoria
nas jogadas de ataque e dano enquanto as
manejando.</t>
      </text>
    </comment>
    <comment authorId="0" ref="X11">
      <text>
        <t xml:space="preserve">Caso esteja usando rolagem de dados remova o calculo da vida máxima de Integridade e faça manualmente.
Outros aumenta diretamente a base do número, ou seja, +5 aumentaria a vida máxima em +5</t>
      </text>
    </comment>
    <comment authorId="0" ref="BH11">
      <text>
        <t xml:space="preserve">Você torna suas invocações mais
resistentes, amplificando a vitalidade
delas. Os Pontos de Vida Máximos de
todas suas Invocações aumentam em um
valor igual ao seu Bônus de Treinamento
multiplicado por cinco.</t>
      </text>
    </comment>
    <comment authorId="0" ref="BH12">
      <text>
        <t xml:space="preserve">Você é naturalmente mais capaz em comandar invocações,
aprimorando o desempenho e aplicação delas. Suas invocações recebem um bônus
em testes que realizarem igual a +2, aumentando em +1 para cada grau acima do
quarto (+3 para terceiro, +4 para segundo etc.) Além disso, você pode utilizar Aptidões
Amaldiçoadas das categorias Controle e Leitura a partir de suas Invocações, fazendo
com que elas recebam os efeitos, como o aumento de dano de Canalizar em Golpe;
entretanto, não é possível utilizar Punho Divergente e Emoção da Pétala Decadente a
partir de Invocações.</t>
      </text>
    </comment>
    <comment authorId="0" ref="BH13">
      <text>
        <t xml:space="preserve">Assumindo uma abordagem diferente,
você traz uma invocação a campo com
autonomia, deixando-a agir de maneira
independente enquanto foca em seu
objetivo. Ao ativar uma invocação, você
pode pagar uma quantidade adicional de
PE igual a 2 para cada grau dela (2 para
quarto grau, 10 para grau especial). Caso
o faça, aquela invocação recebe um turno
próprio dentro de combate, no qual ela
pode realizar uma ação por turno, além de
se mover, sem a necessidade de comandos.
A invocação irá seguir o que você desejar
que ela faça, além de ainda contar para o
seu número de invocações ativas e poder
realizar outros comandos feitos durante o
seu turno.</t>
      </text>
    </comment>
    <comment authorId="0" ref="BH14">
      <text>
        <t xml:space="preserve">Suas invocações possuem um potencial
superior para desenvolver seus atributos.
Todas suas invocações recebem 2 pontos
de atributo adicionais por grau (2 para
quatro grau, 10 para grau especial).</t>
      </text>
    </comment>
    <comment authorId="0" ref="P17">
      <text>
        <t xml:space="preserve">Outros</t>
      </text>
    </comment>
    <comment authorId="0" ref="S17">
      <text>
        <t xml:space="preserve">Outros</t>
      </text>
    </comment>
    <comment authorId="0" ref="V17">
      <text>
        <t xml:space="preserve">Outros</t>
      </text>
    </comment>
    <comment authorId="0" ref="AA17">
      <text>
        <t xml:space="preserve">Outros</t>
      </text>
    </comment>
    <comment authorId="0" ref="AA21">
      <text>
        <t xml:space="preserve">Cortante</t>
      </text>
    </comment>
    <comment authorId="0" ref="AB21">
      <text>
        <t xml:space="preserve">Impacto</t>
      </text>
    </comment>
    <comment authorId="0" ref="AC21">
      <text>
        <t xml:space="preserve">Perfurante</t>
      </text>
    </comment>
    <comment authorId="0" ref="AD21">
      <text>
        <t xml:space="preserve">Congelante</t>
      </text>
    </comment>
    <comment authorId="0" ref="AE21">
      <text>
        <t xml:space="preserve">Queimante</t>
      </text>
    </comment>
    <comment authorId="0" ref="AF21">
      <text>
        <t xml:space="preserve">Chocante</t>
      </text>
    </comment>
    <comment authorId="0" ref="AG21">
      <text>
        <t xml:space="preserve">Sônico
</t>
      </text>
    </comment>
    <comment authorId="0" ref="AH21">
      <text>
        <t xml:space="preserve">Energético</t>
      </text>
    </comment>
    <comment authorId="0" ref="AI21">
      <text>
        <t xml:space="preserve">Psíquico</t>
      </text>
    </comment>
    <comment authorId="0" ref="AJ21">
      <text>
        <t xml:space="preserve">Radiante</t>
      </text>
    </comment>
    <comment authorId="0" ref="AK21">
      <text>
        <t xml:space="preserve">Necrótico</t>
      </text>
    </comment>
    <comment authorId="0" ref="AL21">
      <text>
        <t xml:space="preserve">Venenoso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Y5">
      <text>
        <t xml:space="preserve">A quantidade de itens é multiplicada pelo peso.
Ou seja, caso eu possua dois itens de peso 2, será considerado 4 espaços.</t>
      </text>
    </comment>
    <comment authorId="0" ref="Y9">
      <text>
        <t xml:space="preserve">Um pequeno amuleto com formato semelhante
ao de um apanhador de sonhos, o qual atrai boas energias. Sempre que um portador
do acessório for curado, recebe +1 de cura por dado, com um limite de cura adicional
igual a metade do seu nível.</t>
      </text>
    </comment>
    <comment authorId="0" ref="Y11">
      <text>
        <t xml:space="preserve">Uma pequena pérola carregada com energia
amaldiçoada, usada para recuperar do próprio estoque. Como uma ação bônus, é
possível consumir a pérola, recuperando 3 pontos de energia amaldiçoada.</t>
      </text>
    </comment>
    <comment authorId="0" ref="Y12">
      <text>
        <t xml:space="preserve">Uma espécie de pequena ficha ou amuleto, encravado
em madeira e imbuído com energia reversa. Como uma ação bônus, é possível o
destruir para liberar a energia em si mesmo, curando-se em 10 pontos de vida.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8">
      <text>
        <t xml:space="preserve">Você se torna capaz de erguer e manipular
barreiras, as quais podem ser usadas para
defender o usuário ou prender oponentes.
Você pode criar, como uma Ação Comum,
até 6 paredes ao seu redor, com cada parede
custando 1 ponto de energia amaldiçoada.
Cada parede erguida tem 1,5 metros de
tamanho, e vida igual a 5 + seu nível de
aptidão em Barreiras multiplicado por
metade do seu nível de personagem.
Podem servir tanto como obstáculo como
uma maneira de prender seus inimigos.
Você pode as manipular e mover usando
outra ação comum. [Pré-Requisito: Nível
de Aptidão em Barreira 1]</t>
      </text>
    </comment>
    <comment authorId="0" ref="AJ8">
      <text>
        <t xml:space="preserve">Como ação bonus pode imbuir sua arma com fogo dando um dano adicional de +8, podendo todo começo de turno manter o efeito ativo gastando 1 PE, o dano da arma se torna de Queimante, Congelante ou impacto</t>
      </text>
    </comment>
    <comment authorId="0" ref="AS8">
      <text>
        <t xml:space="preserve">Aumenta a defesa em +4</t>
      </text>
    </comment>
    <comment authorId="0" ref="N9">
      <text>
        <t xml:space="preserve">A cortina é uma técnica de barreira
comum, sendo um grande campo de
força negro que isola uma área específica,
impossibilitando pessoas de fora de ver
seu interior. Seu funcionamento básico
é de ocultamento, mas podem ser postas
condições que expandem sua utilidade. Ao
criar uma cortina, você gasta 1 ponto de
energia para cada 9 metros que a área dela
irá cobrir, e não há um custo para mantê-
la. Você também pode colocar condições
em uma cortina, ao criá-la, de acordo com
as regras sobre cortinas. [Pré-Requisito:
Técnicas de Barreira]</t>
      </text>
    </comment>
    <comment authorId="0" ref="AS9">
      <text>
        <t xml:space="preserve">todo começo de rodada recupera 2d6 de vida</t>
      </text>
    </comment>
    <comment authorId="0" ref="N10">
      <text>
        <t xml:space="preserve">Você se torna capaz de concentrar sua
energia amaldiçoada em seu corpo, assim
amenizando os impactos em troca de um
consumo imediato de energia. Como uma
Reação, quando receber dano, você pode
gastar uma quantidade de PE igual a 2 +
o dobro do seu CL para receber pontos de
vida temporários: para cada ponto gasto,
você recebe 4 PVs temporários. Estes PVs
temporários são avulsos a outras fontes
e não seguem o limite comum para PVs
temporários, durando até o final do turno
da criatura contra a qual você usou a
Reação.</t>
      </text>
    </comment>
    <comment authorId="0" ref="AS10">
      <text>
        <t xml:space="preserve">+7 de dano quando estiver usando espada.</t>
      </text>
    </comment>
    <comment authorId="0" ref="N11">
      <text>
        <t xml:space="preserve">Uma antiga e esotérica técnica amaldiçoada
utilizada contra domínios, antes mesmo
do Domínio Simples ser criado. Como
ação bônus ou reação a uma expansão de
domínio, você pode gastar 3 PE para criar
um trançado de vime ao seu redor e receber
os efeitos desta aptidão. Enquanto estiver
com a Cesta Oca de Vime ativa, você não é
afetado pelo efeito de acerto garantido de
uma expansão de domínio. Esta aptidão
usa de Concentração e possui Durabilidade
igual ao seu Nível de BAR + 1. Sempre
que falhar em um teste de concentração,
a Durabilidade da sua Cesta Oca de Vime
desce em 1. No inicio do seu turno, caso você
deveria ter sido atingido por um Acerto
Garantido, sua Cesta Oca de Vime perde
1 de durabilidade. No inicio do seu turno,
você pode manter o selo desta aptidão,
ocupando as suas duas mãos, ao fazer
isso, a Cesta Oca de Vime não pode perder
durabilidade por qualquer efeito que não
seja a falha de concentração. Caso a Cesta
Oca de Vime quebre, você recebe o efeito
do Acerto Garantido instantaneamente.
[Pré-Requisito: Ser de uma época onde
ela era utilizada ou Mestre em História,
Nível de Aptidão em Barreira 1 e Nível 5]</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5">
      <text>
        <t xml:space="preserve">+11, causa 1d12+1d6+4</t>
      </text>
    </comment>
    <comment authorId="0" ref="R25">
      <text>
        <t xml:space="preserve">alcance 3m, fornece +2 de CA durante 1 rodada</t>
      </text>
    </comment>
    <comment authorId="0" ref="AG25">
      <text>
        <t xml:space="preserve">Aumenta o total de pontos de vida em 10</t>
      </text>
    </comment>
    <comment authorId="0" ref="C26">
      <text>
        <t xml:space="preserve">DT 17 teste de reflexos, quadrado de 3m, em um fracasso toma 1d8+4 em um sucesso toma metade desse dano.</t>
      </text>
    </comment>
    <comment authorId="0" ref="R26">
      <text>
        <t xml:space="preserve">suas ações de suporte aumentam para alcance de 3m</t>
      </text>
    </comment>
    <comment authorId="0" ref="AG26">
      <text>
        <t xml:space="preserve">tem +2 de defesa</t>
      </text>
    </comment>
    <comment authorId="0" ref="C27">
      <text>
        <t xml:space="preserve">redução de dano de fogo 4</t>
      </text>
    </comment>
    <comment authorId="0" ref="R27">
      <text>
        <t xml:space="preserve">cura 1d8+5 PVs de um aliado.</t>
      </text>
    </comment>
    <comment authorId="0" ref="C28">
      <text>
        <t xml:space="preserve">Aumenta o bonus de acerto em +2</t>
      </text>
    </comment>
    <comment authorId="0" ref="R28">
      <text>
        <t xml:space="preserve">faz um aliado ter +1d12+1d6 de dano congelante em seu proximo ataque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Seu movimento aumenta em 
1,5 metros. </t>
      </text>
    </comment>
    <comment authorId="0" ref="L5">
      <text>
        <t xml:space="preserve">Os pontos de vida das 
paredes da sua Técnica de 
Barreira aumentam em 10. </t>
      </text>
    </comment>
    <comment authorId="0" ref="U5">
      <text>
        <t xml:space="preserve">Seu máximo de energia 
amaldiçoada aumenta em 2. </t>
      </text>
    </comment>
    <comment authorId="0" ref="AD5">
      <text>
        <t xml:space="preserve">Seu máximo de energia 
amaldiçoada aumenta em 2. </t>
      </text>
    </comment>
    <comment authorId="0" ref="AM5">
      <text>
        <t xml:space="preserve">Você recebe um bônus de +1 
em rolagens para confrontos e contestações de expansões. </t>
      </text>
    </comment>
    <comment authorId="0" ref="AV5">
      <text>
        <t xml:space="preserve">A quantidade de pontos de 
energia reversa que você 
pode gastar em Aptidões de 
Energia Reversa aumenta em 
1. </t>
      </text>
    </comment>
    <comment authorId="0" ref="C6">
      <text>
        <t xml:space="preserve">Você recebe um bônus de +2 
em rolagens de Acrobacia. (Automatizado)</t>
      </text>
    </comment>
    <comment authorId="0" ref="L6">
      <text>
        <t xml:space="preserve">Aumenta seu Nível de Aptidão em Barreiras em +1</t>
      </text>
    </comment>
    <comment authorId="0" ref="U6">
      <text>
        <t xml:space="preserve">Você recebe um bônus de +1
em rolagens de Feitiçaria e
Ocultismo. (Automatizado)</t>
      </text>
    </comment>
    <comment authorId="0" ref="AD6">
      <text>
        <t xml:space="preserve">Quando uma cena de combate
iniciar, você recebe 4 pontos
de energia amaldiçoada
temporários.</t>
      </text>
    </comment>
    <comment authorId="0" ref="AM6">
      <text>
        <t xml:space="preserve">A área da sua Expansão de
Domínio aumenta em 3 metros.</t>
      </text>
    </comment>
    <comment authorId="0" ref="AV6">
      <text>
        <t xml:space="preserve">Seu Nível de Aptidão em 
Energia Reversa aumenta em 
1.</t>
      </text>
    </comment>
    <comment authorId="0" ref="C7">
      <text>
        <t xml:space="preserve">Você recebe um bônus de +2 
em rolagens de Iniciativa. (Automatizado)</t>
      </text>
    </comment>
    <comment authorId="0" ref="L7">
      <text>
        <t xml:space="preserve">Os pontos de vida das 
paredes da sua Técnica de 
Barreira aumentam em 10. </t>
      </text>
    </comment>
    <comment authorId="0" ref="U7">
      <text>
        <t xml:space="preserve">Seu máximo de energia 
amaldiçoada aumenta em 3.</t>
      </text>
    </comment>
    <comment authorId="0" ref="AD7">
      <text>
        <t xml:space="preserve">Seu máximo de energia 
amaldiçoada aumenta em 3.</t>
      </text>
    </comment>
    <comment authorId="0" ref="AM7">
      <text>
        <t xml:space="preserve">Você recebe um bônus de +1 
em rolagens para confrontos e contestações de expansões. </t>
      </text>
    </comment>
    <comment authorId="0" ref="AV7">
      <text>
        <t xml:space="preserve">O custo para regenerar um 
membro ou ferida interna 
com Regeneração 
Aprimorada é reduzido em 2 
pontos de energia reversa.</t>
      </text>
    </comment>
    <comment authorId="0" ref="C8">
      <text>
        <t xml:space="preserve">Você recebe um bônus de +2 
em rolagens de Reflexos. (Automatizado)</t>
      </text>
    </comment>
    <comment authorId="0" ref="L8">
      <text>
        <t xml:space="preserve">Ao utilizar Técnicas de Barreira,
o máximo de paredes que você
pode criar aumenta em 2</t>
      </text>
    </comment>
    <comment authorId="0" ref="U8">
      <text>
        <t xml:space="preserve">Você recebe um bônus de +2
em rolagens de Feitiçaria e
Ocultismo. (Automatizado) </t>
      </text>
    </comment>
    <comment authorId="0" ref="AD8">
      <text>
        <t xml:space="preserve">Seu Nível de Aptidão em
Controle e Leitura aumenta em
1.</t>
      </text>
    </comment>
    <comment authorId="0" ref="AM8">
      <text>
        <t xml:space="preserve">Você pode colocar um efeito 
adicional em sua expansão de 
domínio. </t>
      </text>
    </comment>
    <comment authorId="0" ref="AV8">
      <text>
        <t xml:space="preserve">Você também pode usar 
Fluxo Constante para 
regenerar membros, ao invés 
de apenas se curar.</t>
      </text>
    </comment>
    <comment authorId="0" ref="C17">
      <text>
        <t xml:space="preserve">O dano de seus ataques 
desarmados aumenta em 1 nível</t>
      </text>
    </comment>
    <comment authorId="0" ref="L17">
      <text>
        <t xml:space="preserve">Escolha uma arma: você 
recebe maestria nela. Caso já 
possua, adicione +2 em 
rolagens de dano com ela.</t>
      </text>
    </comment>
    <comment authorId="0" ref="U17">
      <text>
        <t xml:space="preserve">Escolha uma perícia: você 
recebe maestria nela. Caso já 
possua, adicione +1 em testes 
de perícia usando-a. </t>
      </text>
    </comment>
    <comment authorId="0" ref="AD17">
      <text>
        <t xml:space="preserve">Seu máximo de pontos de 
vigor aumenta em 2.</t>
      </text>
    </comment>
    <comment authorId="0" ref="AM17">
      <text>
        <t xml:space="preserve">Seus pontos de vida máximos 
aumentam em 4.</t>
      </text>
    </comment>
    <comment authorId="0" ref="C18">
      <text>
        <t xml:space="preserve">Você recebe +2 em sua Defesa (Automatizado) e   em rolagens para as ações Agarrar, Derrubar e 
Empurrar. (Não automatizado)</t>
      </text>
    </comment>
    <comment authorId="0" ref="L18">
      <text>
        <t xml:space="preserve">Você recebe um bônus de +1 em
jogadas de ataque com a arma
escolhida</t>
      </text>
    </comment>
    <comment authorId="0" ref="U18">
      <text>
        <t xml:space="preserve">Duas vezes por descanso, 
você pode escolher realizar 
um teste da perícia escolhida 
para o treinamento com 
vantagem. </t>
      </text>
    </comment>
    <comment authorId="0" ref="AD18">
      <text>
        <t xml:space="preserve">Você recebe 2 pontos de 
atributo para distribuir entre 
seus atributos físicos, 
podendo superar o seu limite 
atual neles. </t>
      </text>
    </comment>
    <comment authorId="0" ref="AM18">
      <text>
        <t xml:space="preserve">Sua quantidade de dados de 
vida disponíveis por descanso 
aumenta em 2. </t>
      </text>
    </comment>
    <comment authorId="0" ref="C19">
      <text>
        <t xml:space="preserve">O dano de seus ataques 
desarmados aumenta em 1 nível</t>
      </text>
    </comment>
    <comment authorId="0" ref="L19">
      <text>
        <t xml:space="preserve">Enquanto estiver manejando
a arma escolhida, você recebe
acesso ao efeito crítico dela</t>
      </text>
    </comment>
    <comment authorId="0" ref="U19">
      <text>
        <t xml:space="preserve">Você se torna especialista na 
perícia escolhida. Caso já seja, 
adicione +2 em testes de 
perícia usando-a. </t>
      </text>
    </comment>
    <comment authorId="0" ref="AD19">
      <text>
        <t xml:space="preserve">Seu máximo de pontos de 
vigor aumenta em 3.</t>
      </text>
    </comment>
    <comment authorId="0" ref="AM19">
      <text>
        <t xml:space="preserve">Recebe um bônus de +2 em 
rolagens de Fortitude. (Automatizado)</t>
      </text>
    </comment>
    <comment authorId="0" ref="C20">
      <text>
        <t xml:space="preserve">O dano de seus ataques 
desarmados aumenta em 2 níveis</t>
      </text>
    </comment>
    <comment authorId="0" ref="L20">
      <text>
        <t xml:space="preserve">Você recebe +1 em rolagens 
de ataque e +2 em rolagens 
de dano com a arma 
escolhida. </t>
      </text>
    </comment>
    <comment authorId="0" ref="U20">
      <text>
        <t xml:space="preserve">Uma vez por cena, você pode 
escolher obter um sucesso 
garantido em um teste da 
perícia escolhida, desde que não seja um teste oposto.</t>
      </text>
    </comment>
    <comment authorId="0" ref="AD20">
      <text>
        <t xml:space="preserve">Você recebe uma Dádiva do 
Céu adicional. </t>
      </text>
    </comment>
    <comment authorId="0" ref="AM20">
      <text>
        <t xml:space="preserve">Seus pontos de vida máximos 
aumentam em 6. </t>
      </text>
    </comment>
  </commentList>
</comments>
</file>

<file path=xl/sharedStrings.xml><?xml version="1.0" encoding="utf-8"?>
<sst xmlns="http://schemas.openxmlformats.org/spreadsheetml/2006/main" count="723" uniqueCount="300">
  <si>
    <t>Lutador</t>
  </si>
  <si>
    <t>Esp em C</t>
  </si>
  <si>
    <t>Esp em T</t>
  </si>
  <si>
    <t>Suporte</t>
  </si>
  <si>
    <t>Controlador</t>
  </si>
  <si>
    <t>Restringido</t>
  </si>
  <si>
    <t>FEITICEIROS &amp; MALDIÇÕES</t>
  </si>
  <si>
    <t>NOME</t>
  </si>
  <si>
    <t>Oliver Pendragon</t>
  </si>
  <si>
    <t>ORIGEM</t>
  </si>
  <si>
    <t>herdado (clã Pendragon)</t>
  </si>
  <si>
    <t>CAMPANHA</t>
  </si>
  <si>
    <t>Nível</t>
  </si>
  <si>
    <t>Treinamento</t>
  </si>
  <si>
    <t>Lembre-se de utilizar a função de Notas para anotar o funcionamento de suas habilidades, talentos e outros.</t>
  </si>
  <si>
    <t>ESPECIALIZAÇÃO</t>
  </si>
  <si>
    <t>GRAU</t>
  </si>
  <si>
    <t>FICHA DE PERSONAGEM v2.5</t>
  </si>
  <si>
    <t>JOGADOR</t>
  </si>
  <si>
    <t>Eric</t>
  </si>
  <si>
    <t>TÉCNICA</t>
  </si>
  <si>
    <t>Heragon</t>
  </si>
  <si>
    <t>EXPERIÊNCIA</t>
  </si>
  <si>
    <t>ATRIBUTOS</t>
  </si>
  <si>
    <t>PONTOS DE VIDA</t>
  </si>
  <si>
    <t>EXTRA</t>
  </si>
  <si>
    <t>PONTOS DE ENERGIA</t>
  </si>
  <si>
    <t>INTEGRIDADE</t>
  </si>
  <si>
    <t>DEFESA</t>
  </si>
  <si>
    <t>HABILIDADES E TALENTOS</t>
  </si>
  <si>
    <t>ATUAIS</t>
  </si>
  <si>
    <t>PERDIDOS</t>
  </si>
  <si>
    <t>MÁXIMOS</t>
  </si>
  <si>
    <t>KAMO</t>
  </si>
  <si>
    <t>ATUAL</t>
  </si>
  <si>
    <t>MÁXIMA</t>
  </si>
  <si>
    <t>ESTADO ATUAL</t>
  </si>
  <si>
    <t>Total</t>
  </si>
  <si>
    <t>Base</t>
  </si>
  <si>
    <t>FORÇA</t>
  </si>
  <si>
    <t>DESTREZA</t>
  </si>
  <si>
    <t>CONSTITUIÇÃO</t>
  </si>
  <si>
    <t>34</t>
  </si>
  <si>
    <t>ROBUSTEZ</t>
  </si>
  <si>
    <t>33</t>
  </si>
  <si>
    <t>18</t>
  </si>
  <si>
    <t>Equip.</t>
  </si>
  <si>
    <t>Nome</t>
  </si>
  <si>
    <t>Atual</t>
  </si>
  <si>
    <t>Máx.</t>
  </si>
  <si>
    <t>Custo</t>
  </si>
  <si>
    <t>Valor</t>
  </si>
  <si>
    <t>Mod.</t>
  </si>
  <si>
    <t>DES. EXA.</t>
  </si>
  <si>
    <t>Destreza</t>
  </si>
  <si>
    <t>Treinamento em Controle.</t>
  </si>
  <si>
    <t>VIGOR INF.</t>
  </si>
  <si>
    <t>RD</t>
  </si>
  <si>
    <t>Nível/2</t>
  </si>
  <si>
    <t>TÉCNICAS DE COMBATE</t>
  </si>
  <si>
    <t>Outros</t>
  </si>
  <si>
    <t>INVOCAÇÕES RESISTENTES</t>
  </si>
  <si>
    <t>INTELIGÊNCIA</t>
  </si>
  <si>
    <t>SABEDORIA</t>
  </si>
  <si>
    <t>PRESENÇA</t>
  </si>
  <si>
    <t>Controle Aprimorado.</t>
  </si>
  <si>
    <t>JOGADAS DE ATAQUE</t>
  </si>
  <si>
    <t>TESTES DE RESISTÊNCIA</t>
  </si>
  <si>
    <t>Desloc.</t>
  </si>
  <si>
    <t>CD Especialização</t>
  </si>
  <si>
    <t>TESTES DE MORTE</t>
  </si>
  <si>
    <t>AUTONOMIA</t>
  </si>
  <si>
    <t>Corpo a Corpo</t>
  </si>
  <si>
    <t>A Distância</t>
  </si>
  <si>
    <t>Amaldiçoado</t>
  </si>
  <si>
    <t>Astúcia</t>
  </si>
  <si>
    <t>Fortitude</t>
  </si>
  <si>
    <t>Integridade</t>
  </si>
  <si>
    <t>Reflexos</t>
  </si>
  <si>
    <t>Vontade</t>
  </si>
  <si>
    <t>POTENCIAL SUPERIOR</t>
  </si>
  <si>
    <t>Atributo</t>
  </si>
  <si>
    <t>P</t>
  </si>
  <si>
    <t>Sucessos</t>
  </si>
  <si>
    <t>Treino</t>
  </si>
  <si>
    <t>Falhas</t>
  </si>
  <si>
    <t>ATENÇÃO</t>
  </si>
  <si>
    <t>INICIATIVA</t>
  </si>
  <si>
    <t>T</t>
  </si>
  <si>
    <t>M</t>
  </si>
  <si>
    <t>O</t>
  </si>
  <si>
    <t>DADOS DE VIDA</t>
  </si>
  <si>
    <t>Percep.</t>
  </si>
  <si>
    <t>FOR</t>
  </si>
  <si>
    <t>DES</t>
  </si>
  <si>
    <t>PRE</t>
  </si>
  <si>
    <t>RDs</t>
  </si>
  <si>
    <t>RESISTENCIAS</t>
  </si>
  <si>
    <t>TREINAMENTOS</t>
  </si>
  <si>
    <t>Dados</t>
  </si>
  <si>
    <t>Gastos</t>
  </si>
  <si>
    <t>Disponíveis</t>
  </si>
  <si>
    <t>COR</t>
  </si>
  <si>
    <t>IMP</t>
  </si>
  <si>
    <t>PER</t>
  </si>
  <si>
    <t>CON</t>
  </si>
  <si>
    <t>QUE</t>
  </si>
  <si>
    <t>CHO</t>
  </si>
  <si>
    <t>SON</t>
  </si>
  <si>
    <t>ENE</t>
  </si>
  <si>
    <t>PSI</t>
  </si>
  <si>
    <t>RAD</t>
  </si>
  <si>
    <t>NEC</t>
  </si>
  <si>
    <t>VEN</t>
  </si>
  <si>
    <t>armas simples e armas a distancia</t>
  </si>
  <si>
    <t>d8</t>
  </si>
  <si>
    <t>PERÍCIAS</t>
  </si>
  <si>
    <t>d10</t>
  </si>
  <si>
    <t>d12</t>
  </si>
  <si>
    <t>Perícia</t>
  </si>
  <si>
    <t>Atletismo</t>
  </si>
  <si>
    <t>Teologia</t>
  </si>
  <si>
    <t>INT</t>
  </si>
  <si>
    <t>ATAQUES</t>
  </si>
  <si>
    <t>CARACTERÍSTICAS</t>
  </si>
  <si>
    <t>Acrobacia</t>
  </si>
  <si>
    <t>Direção</t>
  </si>
  <si>
    <t>SAB</t>
  </si>
  <si>
    <t>ARMA</t>
  </si>
  <si>
    <t>BÔNUS</t>
  </si>
  <si>
    <t>DANO</t>
  </si>
  <si>
    <t>CRÍT.</t>
  </si>
  <si>
    <t>TIPO</t>
  </si>
  <si>
    <t>ALCANCE</t>
  </si>
  <si>
    <t>PROPRIEDADES</t>
  </si>
  <si>
    <t>Furtividade</t>
  </si>
  <si>
    <t>Intuição</t>
  </si>
  <si>
    <t>espada longa</t>
  </si>
  <si>
    <t>1d8+11/1d10+11</t>
  </si>
  <si>
    <t>cortante</t>
  </si>
  <si>
    <t>Prestidigitação</t>
  </si>
  <si>
    <t>Medicina</t>
  </si>
  <si>
    <t>Feitiçaria</t>
  </si>
  <si>
    <t>Ocultismo</t>
  </si>
  <si>
    <t>História</t>
  </si>
  <si>
    <t>Percepção</t>
  </si>
  <si>
    <t>Investigação</t>
  </si>
  <si>
    <t>Sobrevivência</t>
  </si>
  <si>
    <t>Ofício (__)</t>
  </si>
  <si>
    <t>Enganação</t>
  </si>
  <si>
    <t>ANOTAÇÕES</t>
  </si>
  <si>
    <t>Intimidação</t>
  </si>
  <si>
    <t>Performance</t>
  </si>
  <si>
    <t>Tecnologia</t>
  </si>
  <si>
    <t>Persuasão</t>
  </si>
  <si>
    <t>REGISTRO E INVENTÁRIO</t>
  </si>
  <si>
    <t>APARÊNCIA</t>
  </si>
  <si>
    <t>INVENTÁRIO</t>
  </si>
  <si>
    <t>IDADE</t>
  </si>
  <si>
    <t>NOME DO ITEM</t>
  </si>
  <si>
    <t>QUANT.</t>
  </si>
  <si>
    <t>PESO</t>
  </si>
  <si>
    <t>PREÇO</t>
  </si>
  <si>
    <t>ALTURA</t>
  </si>
  <si>
    <t>ferramentas ferreiro</t>
  </si>
  <si>
    <t>Apanhador de Saúde [Acessório].</t>
  </si>
  <si>
    <t>GÊNERO</t>
  </si>
  <si>
    <t>Espada longa</t>
  </si>
  <si>
    <t>CABELOS</t>
  </si>
  <si>
    <t>Pérola Carregada [Espiritual].</t>
  </si>
  <si>
    <t>OLHOS</t>
  </si>
  <si>
    <t>Símbolo da Vida [Talismã].</t>
  </si>
  <si>
    <t>PELE</t>
  </si>
  <si>
    <t>ROUPAS</t>
  </si>
  <si>
    <t>MARCA</t>
  </si>
  <si>
    <t>TRAÇOS DE PERSONALIDADE</t>
  </si>
  <si>
    <t>IDEAIS</t>
  </si>
  <si>
    <t>LIGAÇÕES</t>
  </si>
  <si>
    <t>COMPLICAÇÕES</t>
  </si>
  <si>
    <t>DOMÍNIO INATO</t>
  </si>
  <si>
    <t>Espaços Ocupados</t>
  </si>
  <si>
    <t>Limite de Espaços</t>
  </si>
  <si>
    <t>PERFIL AMALDIÇOADO</t>
  </si>
  <si>
    <t>TÉCNICA AMALDIÇOADA</t>
  </si>
  <si>
    <t>APTIDÕES AMALDIÇOADAS</t>
  </si>
  <si>
    <t>LISTA DE FEITIÇOS</t>
  </si>
  <si>
    <t>EXPANSÃO DE DOMÍNIO</t>
  </si>
  <si>
    <t>NOME DA TÉCNICA</t>
  </si>
  <si>
    <t>FEITIÇOS NÍVEL 0</t>
  </si>
  <si>
    <t>FEITIÇOS NÍVEL 1</t>
  </si>
  <si>
    <t>FEITIÇOS NÍVEL 2</t>
  </si>
  <si>
    <t>NOME DA EXPANSÃO</t>
  </si>
  <si>
    <t>TÉCNICAS DE BARREIRA</t>
  </si>
  <si>
    <t>embuir arma</t>
  </si>
  <si>
    <t>escamas de dragão</t>
  </si>
  <si>
    <t>CORTINA</t>
  </si>
  <si>
    <t>regeneração draconica</t>
  </si>
  <si>
    <t>DESCRIÇÃO DA TÉCNICA</t>
  </si>
  <si>
    <t>COBRIR-SE</t>
  </si>
  <si>
    <t>Alma Flamejante</t>
  </si>
  <si>
    <t>TIPO DE EXPANSÃO</t>
  </si>
  <si>
    <t>CESTA OCA DE VIME</t>
  </si>
  <si>
    <t>DESCRIÇÃO DA EXPANSÃO</t>
  </si>
  <si>
    <t>FEITIÇOS CONHECIDOS</t>
  </si>
  <si>
    <t>FEITIÇOS NÍVEL 3</t>
  </si>
  <si>
    <t>FEITIÇOS NÍVEL 4</t>
  </si>
  <si>
    <t>FEITIÇOS NÍVEL 5</t>
  </si>
  <si>
    <t>TÉCNICA MÁXIMA</t>
  </si>
  <si>
    <t>ATRIBUTO PRINCIPAL</t>
  </si>
  <si>
    <t>Presença</t>
  </si>
  <si>
    <t>CD Técnica</t>
  </si>
  <si>
    <t>CD Amaldiçoada</t>
  </si>
  <si>
    <t>DESCRIÇÃO DA TÉCNICA MÁXIMA</t>
  </si>
  <si>
    <t>NÍVEIS DE APTIDÃO</t>
  </si>
  <si>
    <t>Aptidão em Aura</t>
  </si>
  <si>
    <t>Aptidão em Controle e Leitura</t>
  </si>
  <si>
    <t>Aptidão em Barreira</t>
  </si>
  <si>
    <t>Aptidão em Domínio</t>
  </si>
  <si>
    <t>Aptidão em Energia Reversa</t>
  </si>
  <si>
    <t>INVOCAÇÕES</t>
  </si>
  <si>
    <t>Dragão vermelho</t>
  </si>
  <si>
    <t>Dragão branco</t>
  </si>
  <si>
    <t>Dragão Marrom</t>
  </si>
  <si>
    <t>Invocação 4</t>
  </si>
  <si>
    <t>Grau da Invocação</t>
  </si>
  <si>
    <t>Terceiro Grau</t>
  </si>
  <si>
    <t>9m</t>
  </si>
  <si>
    <t>DESLOC.</t>
  </si>
  <si>
    <t>Modificador</t>
  </si>
  <si>
    <t>Força</t>
  </si>
  <si>
    <t>Constituição</t>
  </si>
  <si>
    <t>Inteligência</t>
  </si>
  <si>
    <t>Sabedoria</t>
  </si>
  <si>
    <t>Ações e Características</t>
  </si>
  <si>
    <t>Cuspir Fogo</t>
  </si>
  <si>
    <t>cobertura de gelo (SImples)</t>
  </si>
  <si>
    <t>Parrudo</t>
  </si>
  <si>
    <t>Lança-chamas</t>
  </si>
  <si>
    <t>Cuspir Gelo</t>
  </si>
  <si>
    <t>Casca grossa</t>
  </si>
  <si>
    <t>escamas endurecidas</t>
  </si>
  <si>
    <t>congelar feridas (complexa)</t>
  </si>
  <si>
    <t>Mira aperfeiçoada</t>
  </si>
  <si>
    <t>Quebrar o gelo</t>
  </si>
  <si>
    <t>Perícias Treinadas</t>
  </si>
  <si>
    <t>Bônus</t>
  </si>
  <si>
    <t>a distancia</t>
  </si>
  <si>
    <t>des</t>
  </si>
  <si>
    <t>corpo a corpo</t>
  </si>
  <si>
    <t>for</t>
  </si>
  <si>
    <t>reflexos</t>
  </si>
  <si>
    <t>astucia</t>
  </si>
  <si>
    <t>sab</t>
  </si>
  <si>
    <t>fortitude</t>
  </si>
  <si>
    <t>con</t>
  </si>
  <si>
    <t>acrobacia</t>
  </si>
  <si>
    <t>investigação</t>
  </si>
  <si>
    <t>int</t>
  </si>
  <si>
    <t>intimidação</t>
  </si>
  <si>
    <t>pre</t>
  </si>
  <si>
    <t>percepção</t>
  </si>
  <si>
    <t>feitiçaria</t>
  </si>
  <si>
    <t>sobrevivencia</t>
  </si>
  <si>
    <t>intuição</t>
  </si>
  <si>
    <t>historia</t>
  </si>
  <si>
    <t>Invocação 5</t>
  </si>
  <si>
    <t>Invocação 6</t>
  </si>
  <si>
    <t>Invocação 7</t>
  </si>
  <si>
    <t>Invocação 8</t>
  </si>
  <si>
    <t>Invocação 9</t>
  </si>
  <si>
    <t>Invocação 10</t>
  </si>
  <si>
    <t>Invocação 11</t>
  </si>
  <si>
    <t>Invocação 12</t>
  </si>
  <si>
    <t>Treino de Agilidade</t>
  </si>
  <si>
    <t>Treino de Barreiras</t>
  </si>
  <si>
    <t>Treino de Compreensão</t>
  </si>
  <si>
    <t>Controle de Energia</t>
  </si>
  <si>
    <t>Treino de Domínios</t>
  </si>
  <si>
    <t>Energia Reversa</t>
  </si>
  <si>
    <t>1° Etapa</t>
  </si>
  <si>
    <t>2° Etapa</t>
  </si>
  <si>
    <t>3° Etapa</t>
  </si>
  <si>
    <t>4° Etapa</t>
  </si>
  <si>
    <t>Treinamento Completo</t>
  </si>
  <si>
    <t>Com grande velocidade e agilidade, você se torna rápido e capaz de um nível superior de mobilidade e esquivas. Sua margem necessária para conseguir um sucesso crítico em um TR de Reflexos reduz em 2. Seu Deslocamento aumenta em 4,5 metros.</t>
  </si>
  <si>
    <t xml:space="preserve">Toda parede que você criar com Técnicas de Barreira recebe RD igual ao seu Nível de Aptidão em Barreiras. </t>
  </si>
  <si>
    <t>Você chega muito perto de compreender profundamente a energia amaldiçoada, tornando-se familiar com ela e entendendo melhor uma parte dela. Você aumenta um nível de aptidão a sua escolha em 1.</t>
  </si>
  <si>
    <t xml:space="preserve">Em uma situação de combate, imerso no fervor da batalha, você consegue gerar energia: durante uma cena de combate, no começo de toda rodada, você ganha PE Temporário igual a metade do seu bônus de maestria. </t>
  </si>
  <si>
    <t xml:space="preserve">Você se torna um mestre das expansões, entendo o como conseguir a moldar perfeitamente diante a sua vontade e necessidade do momento. Você recebe a aptidão amaldiçoada Modificação Completa. </t>
  </si>
  <si>
    <t xml:space="preserve"> Você pode usar a aptidão amaldiçoada Regeneração Aprimorada para curar sua exaustão de técnica após usar expansão de domínio, reduzindo em um turno para 2 pontos de energia reversa gastos.</t>
  </si>
  <si>
    <t>Treino de Luta</t>
  </si>
  <si>
    <t>Manejo de Arma</t>
  </si>
  <si>
    <t>Treino de Perícia</t>
  </si>
  <si>
    <t>Potencial Físico</t>
  </si>
  <si>
    <t>Treino de Resistência</t>
  </si>
  <si>
    <t xml:space="preserve"> Você recebe acesso ao efeito de crítico de ataques desarmados (pugilato). Além disso, você pode, uma vez por rodada, escolher realizar uma rolagem de Luta com vantagem, seja ela para um ataque ou para uma manobra. </t>
  </si>
  <si>
    <t>Enquanto estiver manejando a arma escolhida, ela recebe uma propriedade de ferramenta amaldiçoada adicional.</t>
  </si>
  <si>
    <t>Caso realize um teste da perícia escolhida e obtenha um resultado menor do que 5 no d20, você pode o rolar novamente e manter o melhor resultado.</t>
  </si>
  <si>
    <t>Durante uma cena de combate, no começo de toda rodada, você recupera uma quantidade de pontos de vigor igual a metade do seu bônus de maestria.</t>
  </si>
  <si>
    <t>Sua margem necessária para conseguir um sucesso crítico em um TR de Fortitude reduz em 2. Uma vez por cena, você ignora a primeira falha em testes de morte. Seus pontos de vida máximos aumentam em mais 10.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</si>
</sst>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0;-0;0"/>
    <numFmt numFmtId="166" formatCode="0&quot;m&quot;"/>
    <numFmt numFmtId="167" formatCode="0.0&quot;m&quot;"/>
  </numFmts>
  <fonts count="32">
    <font>
      <sz val="10.0"/>
      <color rgb="FF000000"/>
      <name val="Arial"/>
      <scheme val="minor"/>
    </font>
    <font>
      <color theme="1"/>
      <name val="Arial"/>
      <scheme val="minor"/>
    </font>
    <font/>
    <font>
      <b/>
      <color theme="1"/>
      <name val="Lexend Deca"/>
    </font>
    <font>
      <b/>
      <sz val="15.0"/>
      <color rgb="FFFFFFFF"/>
      <name val="Lexend Deca"/>
    </font>
    <font>
      <b/>
      <sz val="18.0"/>
      <color rgb="FF000000"/>
      <name val="Lexend Deca"/>
    </font>
    <font>
      <b/>
      <color rgb="FFFFFFFF"/>
      <name val="Lexend Deca"/>
    </font>
    <font>
      <sz val="12.0"/>
      <color rgb="FFFFFFFF"/>
      <name val="Lexend Deca"/>
    </font>
    <font>
      <b/>
      <sz val="10.0"/>
      <color rgb="FFFFFFFF"/>
      <name val="Lexend Deca"/>
    </font>
    <font>
      <color rgb="FFFFFFFF"/>
      <name val="Lexend Deca"/>
    </font>
    <font>
      <b/>
      <sz val="8.0"/>
      <color rgb="FFFFFFFF"/>
      <name val="Lexend Deca"/>
    </font>
    <font>
      <i/>
      <color rgb="FFFFFFFF"/>
      <name val="Lexend Deca"/>
    </font>
    <font>
      <b/>
      <sz val="14.0"/>
      <color rgb="FFFFFFFF"/>
      <name val="Lexend Deca"/>
    </font>
    <font>
      <b/>
      <sz val="16.0"/>
      <color rgb="FFFFFFFF"/>
      <name val="Lexend Deca"/>
    </font>
    <font>
      <b/>
      <sz val="9.0"/>
      <color rgb="FFFFFFFF"/>
      <name val="Lexend Deca"/>
    </font>
    <font>
      <sz val="18.0"/>
      <color rgb="FFFFFFFF"/>
      <name val="Lexend Deca"/>
    </font>
    <font>
      <b/>
      <sz val="18.0"/>
      <color rgb="FFFFFFFF"/>
      <name val="Lexend Deca"/>
    </font>
    <font>
      <sz val="8.0"/>
      <color rgb="FFFFFFFF"/>
      <name val="Lexend Deca"/>
    </font>
    <font>
      <b/>
      <sz val="12.0"/>
      <color rgb="FFFFFFFF"/>
      <name val="Lexend Deca"/>
    </font>
    <font>
      <sz val="10.0"/>
      <color rgb="FFFFFFFF"/>
      <name val="Lexend Deca"/>
    </font>
    <font>
      <b/>
      <sz val="10.0"/>
      <color theme="1"/>
      <name val="Lexend Deca"/>
    </font>
    <font>
      <b/>
      <color rgb="FF2F4A6A"/>
      <name val="Lexend Deca"/>
    </font>
    <font>
      <b/>
      <sz val="7.0"/>
      <color rgb="FFFFFFFF"/>
      <name val="Lexend Deca"/>
    </font>
    <font>
      <b/>
      <color rgb="FF000000"/>
      <name val="Lexend Deca"/>
    </font>
    <font>
      <color theme="1"/>
      <name val="Lexend Deca"/>
    </font>
    <font>
      <sz val="9.0"/>
      <color rgb="FFFFFFFF"/>
      <name val="Lexend Deca"/>
    </font>
    <font>
      <b/>
      <sz val="11.0"/>
      <color rgb="FFFFFFFF"/>
      <name val="Lexend Deca"/>
    </font>
    <font>
      <color rgb="FF666666"/>
      <name val="Arial"/>
    </font>
    <font>
      <sz val="16.0"/>
      <color rgb="FFFFFFFF"/>
      <name val="Lexend Deca"/>
    </font>
    <font>
      <color theme="1"/>
      <name val="Arial"/>
    </font>
    <font>
      <i/>
      <sz val="18.0"/>
      <color rgb="FFFFFFFF"/>
      <name val="Lexend Deca"/>
    </font>
    <font>
      <color rgb="FF434343"/>
      <name val="Lexend Deca"/>
    </font>
  </fonts>
  <fills count="6">
    <fill>
      <patternFill patternType="none"/>
    </fill>
    <fill>
      <patternFill patternType="lightGray"/>
    </fill>
    <fill>
      <patternFill patternType="solid">
        <fgColor rgb="FF999999"/>
        <bgColor rgb="FF999999"/>
      </patternFill>
    </fill>
    <fill>
      <patternFill patternType="solid">
        <fgColor rgb="FF51163B"/>
        <bgColor rgb="FF51163B"/>
      </patternFill>
    </fill>
    <fill>
      <patternFill patternType="solid">
        <fgColor rgb="FF666666"/>
        <bgColor rgb="FF666666"/>
      </patternFill>
    </fill>
    <fill>
      <patternFill patternType="solid">
        <fgColor rgb="FFEFEFEF"/>
        <bgColor rgb="FFEFEFEF"/>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1" numFmtId="164" xfId="0" applyAlignment="1" applyBorder="1" applyFont="1" applyNumberFormat="1">
      <alignment horizontal="center" vertical="center"/>
    </xf>
    <xf borderId="3" fillId="0" fontId="2" numFmtId="0" xfId="0" applyBorder="1" applyFont="1"/>
    <xf borderId="0" fillId="0" fontId="1" numFmtId="0" xfId="0" applyAlignment="1" applyFont="1">
      <alignment horizontal="center"/>
    </xf>
    <xf borderId="0" fillId="2" fontId="3" numFmtId="0" xfId="0" applyAlignment="1" applyFill="1" applyFont="1">
      <alignment horizontal="center" readingOrder="0"/>
    </xf>
    <xf borderId="0" fillId="2" fontId="1" numFmtId="0" xfId="0" applyFont="1"/>
    <xf borderId="4" fillId="3" fontId="4" numFmtId="0" xfId="0" applyAlignment="1" applyBorder="1" applyFill="1" applyFont="1">
      <alignment horizontal="center" readingOrder="0" vertical="center"/>
    </xf>
    <xf borderId="5" fillId="0" fontId="2" numFmtId="0" xfId="0" applyBorder="1" applyFont="1"/>
    <xf borderId="6" fillId="0" fontId="2" numFmtId="0" xfId="0" applyBorder="1" applyFont="1"/>
    <xf borderId="0" fillId="2" fontId="5" numFmtId="0" xfId="0" applyAlignment="1" applyFont="1">
      <alignment horizontal="center"/>
    </xf>
    <xf borderId="4" fillId="3" fontId="6" numFmtId="0" xfId="0" applyAlignment="1" applyBorder="1" applyFont="1">
      <alignment horizontal="center" readingOrder="0" vertical="center"/>
    </xf>
    <xf borderId="4" fillId="2" fontId="7" numFmtId="0" xfId="0" applyAlignment="1" applyBorder="1" applyFont="1">
      <alignment horizontal="center" readingOrder="0" vertical="center"/>
    </xf>
    <xf borderId="7" fillId="3" fontId="8" numFmtId="0" xfId="0" applyAlignment="1" applyBorder="1" applyFont="1">
      <alignment horizontal="center" readingOrder="0" vertical="center"/>
    </xf>
    <xf borderId="8" fillId="0" fontId="2" numFmtId="0" xfId="0" applyBorder="1" applyFont="1"/>
    <xf borderId="9" fillId="0" fontId="2" numFmtId="0" xfId="0" applyBorder="1" applyFont="1"/>
    <xf borderId="7" fillId="2" fontId="9" numFmtId="0" xfId="0" applyAlignment="1" applyBorder="1" applyFont="1">
      <alignment horizontal="center" readingOrder="0" vertical="center"/>
    </xf>
    <xf borderId="7" fillId="3" fontId="6" numFmtId="0" xfId="0" applyAlignment="1" applyBorder="1" applyFont="1">
      <alignment horizontal="center" readingOrder="0"/>
    </xf>
    <xf borderId="0" fillId="2" fontId="1" numFmtId="0" xfId="0" applyAlignment="1" applyFont="1">
      <alignment readingOrder="0"/>
    </xf>
    <xf borderId="7" fillId="3" fontId="10" numFmtId="0" xfId="0" applyAlignment="1" applyBorder="1" applyFont="1">
      <alignment horizontal="center" readingOrder="0"/>
    </xf>
    <xf borderId="0" fillId="4" fontId="11" numFmtId="0" xfId="0" applyAlignment="1" applyFill="1" applyFont="1">
      <alignment horizontal="center" readingOrder="0" shrinkToFit="0" vertical="center" wrapText="1"/>
    </xf>
    <xf borderId="10" fillId="0" fontId="2" numFmtId="0" xfId="0" applyBorder="1" applyFont="1"/>
    <xf borderId="11" fillId="0" fontId="2" numFmtId="0" xfId="0" applyBorder="1" applyFont="1"/>
    <xf borderId="12" fillId="0" fontId="2" numFmtId="0" xfId="0" applyBorder="1" applyFont="1"/>
    <xf borderId="4" fillId="2" fontId="12" numFmtId="0" xfId="0" applyAlignment="1" applyBorder="1" applyFont="1">
      <alignment horizontal="center" readingOrder="0" vertical="center"/>
    </xf>
    <xf borderId="4" fillId="2" fontId="12" numFmtId="165" xfId="0" applyAlignment="1" applyBorder="1" applyFont="1" applyNumberFormat="1">
      <alignment horizontal="center" readingOrder="0" vertical="center"/>
    </xf>
    <xf borderId="7" fillId="3" fontId="6" numFmtId="0" xfId="0" applyAlignment="1" applyBorder="1" applyFont="1">
      <alignment horizontal="center" readingOrder="0" vertical="center"/>
    </xf>
    <xf borderId="4" fillId="3" fontId="13" numFmtId="0" xfId="0" applyAlignment="1" applyBorder="1" applyFont="1">
      <alignment horizontal="center" readingOrder="0" vertical="center"/>
    </xf>
    <xf borderId="0" fillId="4" fontId="6" numFmtId="0" xfId="0" applyAlignment="1" applyFont="1">
      <alignment horizontal="center" readingOrder="0" vertical="center"/>
    </xf>
    <xf borderId="0" fillId="0" fontId="1" numFmtId="0" xfId="0" applyFont="1"/>
    <xf borderId="4" fillId="3" fontId="12" numFmtId="0" xfId="0" applyAlignment="1" applyBorder="1" applyFont="1">
      <alignment horizontal="center" readingOrder="0" vertical="center"/>
    </xf>
    <xf borderId="1" fillId="2" fontId="6" numFmtId="0" xfId="0" applyAlignment="1" applyBorder="1" applyFont="1">
      <alignment horizontal="center" readingOrder="0" vertical="center"/>
    </xf>
    <xf borderId="4" fillId="3" fontId="8" numFmtId="0" xfId="0" applyAlignment="1" applyBorder="1" applyFont="1">
      <alignment horizontal="center" readingOrder="0" shrinkToFit="0" vertical="center" wrapText="1"/>
    </xf>
    <xf borderId="7" fillId="3" fontId="10" numFmtId="0" xfId="0" applyAlignment="1" applyBorder="1" applyFont="1">
      <alignment horizontal="center" readingOrder="0" vertical="bottom"/>
    </xf>
    <xf borderId="1" fillId="2" fontId="10" numFmtId="0" xfId="0" applyAlignment="1" applyBorder="1" applyFont="1">
      <alignment horizontal="center" readingOrder="0"/>
    </xf>
    <xf borderId="7" fillId="3" fontId="14" numFmtId="0" xfId="0" applyAlignment="1" applyBorder="1" applyFont="1">
      <alignment horizontal="center" readingOrder="0"/>
    </xf>
    <xf borderId="4" fillId="2" fontId="15" numFmtId="49" xfId="0" applyAlignment="1" applyBorder="1" applyFont="1" applyNumberFormat="1">
      <alignment horizontal="center" readingOrder="0" vertical="center"/>
    </xf>
    <xf borderId="4" fillId="4" fontId="16" numFmtId="49" xfId="0" applyAlignment="1" applyBorder="1" applyFont="1" applyNumberFormat="1">
      <alignment horizontal="center" readingOrder="0" vertical="center"/>
    </xf>
    <xf borderId="7" fillId="3" fontId="14" numFmtId="0" xfId="0" applyAlignment="1" applyBorder="1" applyFont="1">
      <alignment horizontal="center" readingOrder="0" vertical="center"/>
    </xf>
    <xf borderId="4" fillId="2" fontId="16" numFmtId="49" xfId="0" applyAlignment="1" applyBorder="1" applyFont="1" applyNumberFormat="1">
      <alignment horizontal="center" readingOrder="0" vertical="center"/>
    </xf>
    <xf borderId="4" fillId="3" fontId="8" numFmtId="0" xfId="0" applyAlignment="1" applyBorder="1" applyFont="1">
      <alignment horizontal="center" readingOrder="0" vertical="center"/>
    </xf>
    <xf borderId="13" fillId="0" fontId="2" numFmtId="0" xfId="0" applyBorder="1" applyFont="1"/>
    <xf borderId="14" fillId="0" fontId="2" numFmtId="0" xfId="0" applyBorder="1" applyFont="1"/>
    <xf borderId="7" fillId="4" fontId="17" numFmtId="0" xfId="0" applyAlignment="1" applyBorder="1" applyFont="1">
      <alignment horizontal="center" readingOrder="0" vertical="center"/>
    </xf>
    <xf borderId="1" fillId="2" fontId="10" numFmtId="164" xfId="0" applyAlignment="1" applyBorder="1" applyFont="1" applyNumberFormat="1">
      <alignment horizontal="center" readingOrder="0"/>
    </xf>
    <xf borderId="7" fillId="2" fontId="9" numFmtId="0" xfId="0" applyAlignment="1" applyBorder="1" applyFont="1">
      <alignment horizontal="left" readingOrder="0"/>
    </xf>
    <xf borderId="7" fillId="2" fontId="9" numFmtId="0" xfId="0" applyAlignment="1" applyBorder="1" applyFont="1">
      <alignment horizontal="center" readingOrder="0"/>
    </xf>
    <xf borderId="4" fillId="4" fontId="18" numFmtId="164" xfId="0" applyAlignment="1" applyBorder="1" applyFont="1" applyNumberFormat="1">
      <alignment horizontal="center" readingOrder="0" vertical="center"/>
    </xf>
    <xf borderId="7" fillId="2" fontId="6" numFmtId="0" xfId="0" applyAlignment="1" applyBorder="1" applyFont="1">
      <alignment horizontal="center" readingOrder="0" vertical="center"/>
    </xf>
    <xf borderId="7" fillId="2" fontId="19" numFmtId="0" xfId="0" applyAlignment="1" applyBorder="1" applyFont="1">
      <alignment horizontal="center" readingOrder="0" vertical="center"/>
    </xf>
    <xf borderId="0" fillId="2" fontId="20" numFmtId="0" xfId="0" applyAlignment="1" applyFont="1">
      <alignment horizontal="center" readingOrder="0" vertical="center"/>
    </xf>
    <xf borderId="7" fillId="3" fontId="6" numFmtId="0" xfId="0" applyAlignment="1" applyBorder="1" applyFont="1">
      <alignment horizontal="center" vertical="center"/>
    </xf>
    <xf borderId="0" fillId="0" fontId="1" numFmtId="0" xfId="0" applyAlignment="1" applyFont="1">
      <alignment vertical="center"/>
    </xf>
    <xf borderId="7" fillId="3" fontId="6" numFmtId="0" xfId="0" applyAlignment="1" applyBorder="1" applyFont="1">
      <alignment horizontal="center" vertical="bottom"/>
    </xf>
    <xf borderId="0" fillId="0" fontId="6" numFmtId="0" xfId="0" applyAlignment="1" applyFont="1">
      <alignment horizontal="center" readingOrder="0" vertical="bottom"/>
    </xf>
    <xf borderId="0" fillId="5" fontId="21" numFmtId="0" xfId="0" applyAlignment="1" applyFill="1" applyFont="1">
      <alignment horizontal="center" readingOrder="0"/>
    </xf>
    <xf borderId="4" fillId="3" fontId="18" numFmtId="0" xfId="0" applyAlignment="1" applyBorder="1" applyFont="1">
      <alignment horizontal="center" readingOrder="0" vertical="center"/>
    </xf>
    <xf borderId="7" fillId="3" fontId="22" numFmtId="0" xfId="0" applyAlignment="1" applyBorder="1" applyFont="1">
      <alignment horizontal="center" vertical="center"/>
    </xf>
    <xf borderId="7" fillId="3" fontId="10" numFmtId="0" xfId="0" applyAlignment="1" applyBorder="1" applyFont="1">
      <alignment horizontal="center" readingOrder="0" vertical="center"/>
    </xf>
    <xf borderId="4" fillId="2" fontId="15" numFmtId="166" xfId="0" applyAlignment="1" applyBorder="1" applyFont="1" applyNumberFormat="1">
      <alignment horizontal="center" readingOrder="0" vertical="center"/>
    </xf>
    <xf borderId="7" fillId="3" fontId="10" numFmtId="0" xfId="0" applyAlignment="1" applyBorder="1" applyFont="1">
      <alignment horizontal="center" vertical="bottom"/>
    </xf>
    <xf borderId="1" fillId="2" fontId="9" numFmtId="0" xfId="0" applyAlignment="1" applyBorder="1" applyFont="1">
      <alignment horizontal="center" readingOrder="0" vertical="bottom"/>
    </xf>
    <xf borderId="4" fillId="2" fontId="15" numFmtId="164" xfId="0" applyAlignment="1" applyBorder="1" applyFont="1" applyNumberFormat="1">
      <alignment horizontal="center" vertical="center"/>
    </xf>
    <xf borderId="4" fillId="2" fontId="15" numFmtId="164" xfId="0" applyAlignment="1" applyBorder="1" applyFont="1" applyNumberFormat="1">
      <alignment horizontal="center" readingOrder="0" vertical="center"/>
    </xf>
    <xf borderId="10" fillId="3" fontId="8" numFmtId="0" xfId="0" applyAlignment="1" applyBorder="1" applyFont="1">
      <alignment horizontal="center" readingOrder="0" vertical="center"/>
    </xf>
    <xf borderId="11" fillId="2" fontId="8" numFmtId="0" xfId="0" applyAlignment="1" applyBorder="1" applyFont="1">
      <alignment horizontal="center" readingOrder="0" vertical="center"/>
    </xf>
    <xf borderId="11" fillId="2" fontId="8" numFmtId="0" xfId="0" applyAlignment="1" applyBorder="1" applyFont="1">
      <alignment horizontal="center" vertical="center"/>
    </xf>
    <xf borderId="12" fillId="2" fontId="8" numFmtId="0" xfId="0" applyAlignment="1" applyBorder="1" applyFont="1">
      <alignment horizontal="center" readingOrder="0" vertical="center"/>
    </xf>
    <xf borderId="1" fillId="2" fontId="9" numFmtId="49" xfId="0" applyAlignment="1" applyBorder="1" applyFont="1" applyNumberFormat="1">
      <alignment horizontal="center" vertical="bottom"/>
    </xf>
    <xf borderId="0" fillId="0" fontId="10" numFmtId="0" xfId="0" applyAlignment="1" applyFont="1">
      <alignment horizontal="center" readingOrder="0" vertical="bottom"/>
    </xf>
    <xf borderId="1" fillId="3" fontId="6" numFmtId="0" xfId="0" applyAlignment="1" applyBorder="1" applyFont="1">
      <alignment horizontal="center" vertical="center"/>
    </xf>
    <xf borderId="1" fillId="3" fontId="6" numFmtId="0" xfId="0" applyAlignment="1" applyBorder="1" applyFont="1">
      <alignment horizontal="center" readingOrder="0" vertical="center"/>
    </xf>
    <xf borderId="1" fillId="2" fontId="9" numFmtId="0" xfId="0" applyAlignment="1" applyBorder="1" applyFont="1">
      <alignment horizontal="center" vertical="bottom"/>
    </xf>
    <xf borderId="1" fillId="2" fontId="3" numFmtId="0" xfId="0" applyAlignment="1" applyBorder="1" applyFont="1">
      <alignment horizontal="center" readingOrder="0" vertical="center"/>
    </xf>
    <xf borderId="7" fillId="2" fontId="6" numFmtId="164" xfId="0" applyAlignment="1" applyBorder="1" applyFont="1" applyNumberFormat="1">
      <alignment horizontal="center"/>
    </xf>
    <xf borderId="1" fillId="2" fontId="3" numFmtId="0" xfId="0" applyAlignment="1" applyBorder="1" applyFont="1">
      <alignment horizontal="center" vertical="center"/>
    </xf>
    <xf borderId="1" fillId="2" fontId="23" numFmtId="0" xfId="0" applyAlignment="1" applyBorder="1" applyFont="1">
      <alignment horizontal="center" readingOrder="0" vertical="center"/>
    </xf>
    <xf borderId="1" fillId="2" fontId="6" numFmtId="164" xfId="0" applyAlignment="1" applyBorder="1" applyFont="1" applyNumberFormat="1">
      <alignment horizontal="center" readingOrder="0" vertical="center"/>
    </xf>
    <xf borderId="0" fillId="0" fontId="8" numFmtId="0" xfId="0" applyAlignment="1" applyFont="1">
      <alignment horizontal="center" readingOrder="0"/>
    </xf>
    <xf borderId="4" fillId="4" fontId="16" numFmtId="164" xfId="0" applyAlignment="1" applyBorder="1" applyFont="1" applyNumberFormat="1">
      <alignment horizontal="center" readingOrder="0" vertical="center"/>
    </xf>
    <xf borderId="7" fillId="0" fontId="24" numFmtId="0" xfId="0" applyAlignment="1" applyBorder="1" applyFont="1">
      <alignment horizontal="center" vertical="center"/>
    </xf>
    <xf borderId="7" fillId="0" fontId="24" numFmtId="0" xfId="0" applyAlignment="1" applyBorder="1" applyFont="1">
      <alignment horizontal="center" readingOrder="0" vertical="center"/>
    </xf>
    <xf borderId="4" fillId="3" fontId="8" numFmtId="0" xfId="0" applyAlignment="1" applyBorder="1" applyFont="1">
      <alignment horizontal="center" readingOrder="0"/>
    </xf>
    <xf borderId="5" fillId="3" fontId="8" numFmtId="0" xfId="0" applyAlignment="1" applyBorder="1" applyFont="1">
      <alignment horizontal="center" readingOrder="0"/>
    </xf>
    <xf borderId="1" fillId="3" fontId="22" numFmtId="0" xfId="0" applyAlignment="1" applyBorder="1" applyFont="1">
      <alignment horizontal="center" readingOrder="0" vertical="center"/>
    </xf>
    <xf borderId="4" fillId="2" fontId="25" numFmtId="0" xfId="0" applyAlignment="1" applyBorder="1" applyFont="1">
      <alignment horizontal="center" readingOrder="0"/>
    </xf>
    <xf borderId="4" fillId="2" fontId="25" numFmtId="0" xfId="0" applyAlignment="1" applyBorder="1" applyFont="1">
      <alignment horizontal="center" readingOrder="0" vertical="center"/>
    </xf>
    <xf borderId="2" fillId="2" fontId="19" numFmtId="0" xfId="0" applyAlignment="1" applyBorder="1" applyFont="1">
      <alignment horizontal="center" readingOrder="0" vertical="center"/>
    </xf>
    <xf borderId="7" fillId="3" fontId="8" numFmtId="0" xfId="0" applyAlignment="1" applyBorder="1" applyFont="1">
      <alignment horizontal="center" readingOrder="0"/>
    </xf>
    <xf borderId="1" fillId="3" fontId="6" numFmtId="0" xfId="0" applyAlignment="1" applyBorder="1" applyFont="1">
      <alignment horizontal="center" readingOrder="0"/>
    </xf>
    <xf borderId="7" fillId="4" fontId="6" numFmtId="0" xfId="0" applyAlignment="1" applyBorder="1" applyFont="1">
      <alignment horizontal="center" readingOrder="0"/>
    </xf>
    <xf borderId="7" fillId="2" fontId="6" numFmtId="0" xfId="0" applyAlignment="1" applyBorder="1" applyFont="1">
      <alignment horizontal="center" readingOrder="0"/>
    </xf>
    <xf borderId="1" fillId="2" fontId="23" numFmtId="0" xfId="0" applyAlignment="1" applyBorder="1" applyFont="1">
      <alignment horizontal="center" readingOrder="0"/>
    </xf>
    <xf borderId="7" fillId="4" fontId="6" numFmtId="164" xfId="0" applyAlignment="1" applyBorder="1" applyFont="1" applyNumberFormat="1">
      <alignment horizontal="center" readingOrder="0"/>
    </xf>
    <xf borderId="13" fillId="3" fontId="26" numFmtId="0" xfId="0" applyAlignment="1" applyBorder="1" applyFont="1">
      <alignment horizontal="center" readingOrder="0" shrinkToFit="0" vertical="center" wrapText="1"/>
    </xf>
    <xf borderId="7" fillId="2" fontId="9" numFmtId="0" xfId="0" applyAlignment="1" applyBorder="1" applyFont="1">
      <alignment readingOrder="0"/>
    </xf>
    <xf borderId="7" fillId="2" fontId="9" numFmtId="165" xfId="0" applyAlignment="1" applyBorder="1" applyFont="1" applyNumberFormat="1">
      <alignment horizontal="center" readingOrder="0"/>
    </xf>
    <xf borderId="7" fillId="2" fontId="9" numFmtId="0" xfId="0" applyAlignment="1" applyBorder="1" applyFont="1">
      <alignment horizontal="center"/>
    </xf>
    <xf borderId="7" fillId="2" fontId="9" numFmtId="0" xfId="0" applyBorder="1" applyFont="1"/>
    <xf borderId="7" fillId="2" fontId="9" numFmtId="165" xfId="0" applyAlignment="1" applyBorder="1" applyFont="1" applyNumberFormat="1">
      <alignment horizontal="center"/>
    </xf>
    <xf borderId="7" fillId="4" fontId="8" numFmtId="0" xfId="0" applyAlignment="1" applyBorder="1" applyFont="1">
      <alignment horizontal="center" readingOrder="0"/>
    </xf>
    <xf borderId="4" fillId="2" fontId="9" numFmtId="0" xfId="0" applyAlignment="1" applyBorder="1" applyFont="1">
      <alignment shrinkToFit="0" vertical="top" wrapText="1"/>
    </xf>
    <xf borderId="4" fillId="3" fontId="16" numFmtId="0" xfId="0" applyAlignment="1" applyBorder="1" applyFont="1">
      <alignment horizontal="center" readingOrder="0" vertical="center"/>
    </xf>
    <xf borderId="4" fillId="2" fontId="3" numFmtId="0" xfId="0" applyAlignment="1" applyBorder="1" applyFont="1">
      <alignment horizontal="center" readingOrder="0" vertical="center"/>
    </xf>
    <xf borderId="7" fillId="2" fontId="9" numFmtId="0" xfId="0" applyAlignment="1" applyBorder="1" applyFont="1">
      <alignment horizontal="center" vertical="center"/>
    </xf>
    <xf borderId="0" fillId="0" fontId="3" numFmtId="0" xfId="0" applyAlignment="1" applyFont="1">
      <alignment horizontal="center" readingOrder="0" vertical="center"/>
    </xf>
    <xf borderId="7" fillId="2" fontId="9" numFmtId="0" xfId="0" applyAlignment="1" applyBorder="1" applyFont="1">
      <alignment horizontal="left" readingOrder="0" vertical="center"/>
    </xf>
    <xf borderId="0" fillId="4" fontId="27" numFmtId="0" xfId="0" applyAlignment="1" applyFont="1">
      <alignment horizontal="right" vertical="bottom"/>
    </xf>
    <xf borderId="4" fillId="2" fontId="9" numFmtId="0" xfId="0" applyAlignment="1" applyBorder="1" applyFont="1">
      <alignment horizontal="center" readingOrder="0" shrinkToFit="0" vertical="top" wrapText="1"/>
    </xf>
    <xf borderId="4" fillId="2" fontId="6" numFmtId="0" xfId="0" applyAlignment="1" applyBorder="1" applyFont="1">
      <alignment horizontal="center" readingOrder="0" shrinkToFit="0" vertical="top" wrapText="1"/>
    </xf>
    <xf borderId="7" fillId="3" fontId="24" numFmtId="0" xfId="0" applyAlignment="1" applyBorder="1" applyFont="1">
      <alignment horizontal="left" readingOrder="0" vertical="center"/>
    </xf>
    <xf borderId="7" fillId="2" fontId="9" numFmtId="0" xfId="0" applyAlignment="1" applyBorder="1" applyFont="1">
      <alignment horizontal="center" vertical="center"/>
    </xf>
    <xf borderId="7" fillId="3" fontId="6" numFmtId="0" xfId="0" applyAlignment="1" applyBorder="1" applyFont="1">
      <alignment horizontal="center" readingOrder="0" vertical="bottom"/>
    </xf>
    <xf borderId="7" fillId="2" fontId="9" numFmtId="0" xfId="0" applyAlignment="1" applyBorder="1" applyFont="1">
      <alignment horizontal="center"/>
    </xf>
    <xf borderId="0" fillId="0" fontId="3" numFmtId="0" xfId="0" applyAlignment="1" applyFont="1">
      <alignment horizontal="center" readingOrder="0"/>
    </xf>
    <xf borderId="0" fillId="0" fontId="6" numFmtId="0" xfId="0" applyAlignment="1" applyFont="1">
      <alignment horizontal="center" vertical="bottom"/>
    </xf>
    <xf borderId="0" fillId="0" fontId="28" numFmtId="0" xfId="0" applyAlignment="1" applyFont="1">
      <alignment horizontal="center" readingOrder="0" vertical="center"/>
    </xf>
    <xf borderId="0" fillId="0" fontId="16" numFmtId="0" xfId="0" applyAlignment="1" applyFont="1">
      <alignment horizontal="center" readingOrder="0" vertical="center"/>
    </xf>
    <xf borderId="2" fillId="3" fontId="29" numFmtId="0" xfId="0" applyAlignment="1" applyBorder="1" applyFont="1">
      <alignment vertical="bottom"/>
    </xf>
    <xf borderId="15" fillId="0" fontId="2" numFmtId="0" xfId="0" applyBorder="1" applyFont="1"/>
    <xf borderId="4" fillId="2" fontId="19" numFmtId="0" xfId="0" applyAlignment="1" applyBorder="1" applyFont="1">
      <alignment horizontal="center" readingOrder="0" shrinkToFit="0" vertical="top" wrapText="1"/>
    </xf>
    <xf borderId="7" fillId="2" fontId="8" numFmtId="0" xfId="0" applyAlignment="1" applyBorder="1" applyFont="1">
      <alignment horizontal="center" readingOrder="0" vertical="center"/>
    </xf>
    <xf borderId="4" fillId="2" fontId="12" numFmtId="0" xfId="0" applyAlignment="1" applyBorder="1" applyFont="1">
      <alignment horizontal="center" readingOrder="0" shrinkToFit="0" vertical="center" wrapText="1"/>
    </xf>
    <xf borderId="14" fillId="3" fontId="9" numFmtId="0" xfId="0" applyAlignment="1" applyBorder="1" applyFont="1">
      <alignment horizontal="center" readingOrder="0" vertical="center"/>
    </xf>
    <xf borderId="13" fillId="3" fontId="9" numFmtId="0" xfId="0" applyAlignment="1" applyBorder="1" applyFont="1">
      <alignment horizontal="center" readingOrder="0" vertical="center"/>
    </xf>
    <xf borderId="7" fillId="3" fontId="10" numFmtId="0" xfId="0" applyAlignment="1" applyBorder="1" applyFont="1">
      <alignment horizontal="center" vertical="center"/>
    </xf>
    <xf borderId="15" fillId="3" fontId="9" numFmtId="0" xfId="0" applyAlignment="1" applyBorder="1" applyFont="1">
      <alignment horizontal="center" readingOrder="0" vertical="center"/>
    </xf>
    <xf borderId="4" fillId="2" fontId="16" numFmtId="49" xfId="0" applyAlignment="1" applyBorder="1" applyFont="1" applyNumberFormat="1">
      <alignment horizontal="center" vertical="center"/>
    </xf>
    <xf borderId="8" fillId="3" fontId="10" numFmtId="0" xfId="0" applyAlignment="1" applyBorder="1" applyFont="1">
      <alignment horizontal="center" vertical="center"/>
    </xf>
    <xf borderId="7" fillId="2" fontId="9" numFmtId="0" xfId="0" applyAlignment="1" applyBorder="1" applyFont="1">
      <alignment horizontal="center" readingOrder="0" vertical="bottom"/>
    </xf>
    <xf borderId="5" fillId="3" fontId="10" numFmtId="0" xfId="0" applyAlignment="1" applyBorder="1" applyFont="1">
      <alignment horizontal="center" vertical="center"/>
    </xf>
    <xf borderId="4" fillId="2" fontId="9" numFmtId="0" xfId="0" applyAlignment="1" applyBorder="1" applyFont="1">
      <alignment horizontal="center" readingOrder="0" vertical="center"/>
    </xf>
    <xf borderId="10" fillId="3" fontId="9" numFmtId="0" xfId="0" applyAlignment="1" applyBorder="1" applyFont="1">
      <alignment horizontal="center" readingOrder="0" vertical="center"/>
    </xf>
    <xf borderId="11" fillId="3" fontId="9" numFmtId="0" xfId="0" applyAlignment="1" applyBorder="1" applyFont="1">
      <alignment horizontal="center" readingOrder="0" vertical="center"/>
    </xf>
    <xf borderId="12" fillId="3" fontId="9" numFmtId="0" xfId="0" applyAlignment="1" applyBorder="1" applyFont="1">
      <alignment horizontal="center" readingOrder="0" vertical="center"/>
    </xf>
    <xf borderId="4" fillId="2" fontId="15" numFmtId="0" xfId="0" applyAlignment="1" applyBorder="1" applyFont="1">
      <alignment horizontal="center" vertical="center"/>
    </xf>
    <xf borderId="2" fillId="3" fontId="29" numFmtId="0" xfId="0" applyAlignment="1" applyBorder="1" applyFont="1">
      <alignment vertical="bottom"/>
    </xf>
    <xf borderId="4" fillId="2" fontId="15" numFmtId="0" xfId="0" applyAlignment="1" applyBorder="1" applyFont="1">
      <alignment horizontal="center" readingOrder="0" vertical="center"/>
    </xf>
    <xf borderId="4" fillId="3" fontId="25" numFmtId="0" xfId="0" applyAlignment="1" applyBorder="1" applyFont="1">
      <alignment horizontal="center" readingOrder="0" shrinkToFit="0" vertical="center" wrapText="1"/>
    </xf>
    <xf borderId="4" fillId="3" fontId="25" numFmtId="0" xfId="0" applyAlignment="1" applyBorder="1" applyFont="1">
      <alignment horizontal="center" shrinkToFit="0" vertical="center" wrapText="1"/>
    </xf>
    <xf borderId="4" fillId="3" fontId="25" numFmtId="0" xfId="0" applyAlignment="1" applyBorder="1" applyFont="1">
      <alignment horizontal="center" shrinkToFit="0" vertical="center" wrapText="1"/>
    </xf>
    <xf borderId="0" fillId="0" fontId="15" numFmtId="0" xfId="0" applyAlignment="1" applyFont="1">
      <alignment horizontal="center" readingOrder="0" vertical="center"/>
    </xf>
    <xf borderId="4" fillId="3" fontId="30" numFmtId="0" xfId="0" applyAlignment="1" applyBorder="1" applyFont="1">
      <alignment horizontal="center" readingOrder="0"/>
    </xf>
    <xf borderId="0" fillId="0" fontId="13" numFmtId="0" xfId="0" applyAlignment="1" applyFont="1">
      <alignment horizontal="center" readingOrder="0" vertical="center"/>
    </xf>
    <xf borderId="7" fillId="3" fontId="29" numFmtId="0" xfId="0" applyAlignment="1" applyBorder="1" applyFont="1">
      <alignment vertical="bottom"/>
    </xf>
    <xf borderId="5" fillId="2" fontId="29" numFmtId="0" xfId="0" applyAlignment="1" applyBorder="1" applyFont="1">
      <alignment readingOrder="0"/>
    </xf>
    <xf borderId="4" fillId="4" fontId="29" numFmtId="0" xfId="0" applyAlignment="1" applyBorder="1" applyFont="1">
      <alignment readingOrder="0"/>
    </xf>
    <xf borderId="4" fillId="2" fontId="29" numFmtId="0" xfId="0" applyAlignment="1" applyBorder="1" applyFont="1">
      <alignment readingOrder="0"/>
    </xf>
    <xf borderId="4" fillId="2" fontId="29" numFmtId="167" xfId="0" applyAlignment="1" applyBorder="1" applyFont="1" applyNumberFormat="1">
      <alignment readingOrder="0"/>
    </xf>
    <xf borderId="5" fillId="2" fontId="29" numFmtId="0" xfId="0" applyBorder="1" applyFont="1"/>
    <xf borderId="4" fillId="4" fontId="29" numFmtId="0" xfId="0" applyBorder="1" applyFont="1"/>
    <xf borderId="4" fillId="2" fontId="29" numFmtId="0" xfId="0" applyBorder="1" applyFont="1"/>
    <xf borderId="4" fillId="2" fontId="29" numFmtId="167" xfId="0" applyBorder="1" applyFont="1" applyNumberFormat="1"/>
    <xf borderId="8" fillId="3" fontId="6" numFmtId="0" xfId="0" applyAlignment="1" applyBorder="1" applyFont="1">
      <alignment horizontal="center" readingOrder="0" vertical="center"/>
    </xf>
    <xf borderId="4" fillId="3" fontId="6" numFmtId="0" xfId="0" applyAlignment="1" applyBorder="1" applyFont="1">
      <alignment horizontal="center" readingOrder="0" shrinkToFit="0" vertical="center" wrapText="1"/>
    </xf>
    <xf borderId="4" fillId="3" fontId="14" numFmtId="0" xfId="0" applyAlignment="1" applyBorder="1" applyFont="1">
      <alignment horizontal="center" readingOrder="0" shrinkToFit="0" vertical="center" wrapText="1"/>
    </xf>
    <xf borderId="0" fillId="3" fontId="6" numFmtId="0" xfId="0" applyAlignment="1" applyFont="1">
      <alignment horizontal="center" readingOrder="0" vertical="center"/>
    </xf>
    <xf borderId="7" fillId="3" fontId="18" numFmtId="0" xfId="0" applyAlignment="1" applyBorder="1" applyFont="1">
      <alignment horizontal="center" readingOrder="0"/>
    </xf>
    <xf borderId="5" fillId="3" fontId="6" numFmtId="0" xfId="0" applyAlignment="1" applyBorder="1" applyFont="1">
      <alignment horizontal="center" vertical="bottom"/>
    </xf>
    <xf borderId="7" fillId="3" fontId="6" numFmtId="0" xfId="0" applyAlignment="1" applyBorder="1" applyFont="1">
      <alignment vertical="bottom"/>
    </xf>
    <xf borderId="7" fillId="2" fontId="9" numFmtId="165" xfId="0" applyAlignment="1" applyBorder="1" applyFont="1" applyNumberFormat="1">
      <alignment horizontal="center" vertical="bottom"/>
    </xf>
    <xf borderId="7" fillId="3" fontId="6" numFmtId="0" xfId="0" applyAlignment="1" applyBorder="1" applyFont="1">
      <alignment readingOrder="0" vertical="bottom"/>
    </xf>
    <xf borderId="7" fillId="3" fontId="18" numFmtId="0" xfId="0" applyAlignment="1" applyBorder="1" applyFont="1">
      <alignment horizontal="center"/>
    </xf>
    <xf borderId="7" fillId="2" fontId="29" numFmtId="0" xfId="0" applyAlignment="1" applyBorder="1" applyFont="1">
      <alignment readingOrder="0" vertical="bottom"/>
    </xf>
    <xf borderId="7" fillId="2" fontId="29" numFmtId="0" xfId="0" applyAlignment="1" applyBorder="1" applyFont="1">
      <alignment vertical="bottom"/>
    </xf>
    <xf borderId="7" fillId="3" fontId="14" numFmtId="0" xfId="0" applyAlignment="1" applyBorder="1" applyFont="1">
      <alignment horizontal="center" vertical="bottom"/>
    </xf>
    <xf borderId="7" fillId="2" fontId="31" numFmtId="0" xfId="0" applyAlignment="1" applyBorder="1" applyFont="1">
      <alignment horizontal="center" readingOrder="0"/>
    </xf>
    <xf borderId="7" fillId="2" fontId="29" numFmtId="165" xfId="0" applyAlignment="1" applyBorder="1" applyFont="1" applyNumberFormat="1">
      <alignment readingOrder="0" vertical="bottom"/>
    </xf>
    <xf borderId="7" fillId="2" fontId="29" numFmtId="165" xfId="0" applyAlignment="1" applyBorder="1" applyFont="1" applyNumberFormat="1">
      <alignment vertical="bottom"/>
    </xf>
    <xf borderId="7" fillId="2" fontId="29" numFmtId="0" xfId="0" applyAlignment="1" applyBorder="1" applyFont="1">
      <alignment vertical="bottom"/>
    </xf>
    <xf borderId="0" fillId="4" fontId="1" numFmtId="0" xfId="0" applyFont="1"/>
    <xf borderId="0" fillId="3" fontId="15" numFmtId="0" xfId="0" applyAlignment="1" applyFont="1">
      <alignment horizontal="center" readingOrder="0" vertical="center"/>
    </xf>
    <xf borderId="2" fillId="3" fontId="1" numFmtId="0" xfId="0" applyBorder="1" applyFont="1"/>
    <xf borderId="7" fillId="3" fontId="7" numFmtId="0" xfId="0" applyAlignment="1" applyBorder="1" applyFont="1">
      <alignment horizontal="center" readingOrder="0" shrinkToFit="0" vertical="center" wrapText="1"/>
    </xf>
    <xf borderId="2" fillId="3" fontId="7" numFmtId="0" xfId="0" applyAlignment="1" applyBorder="1" applyFont="1">
      <alignment horizontal="center" readingOrder="0" shrinkToFit="0" vertical="center" wrapText="1"/>
    </xf>
    <xf borderId="7" fillId="3" fontId="19" numFmtId="0" xfId="0" applyAlignment="1" applyBorder="1" applyFont="1">
      <alignment horizontal="center" readingOrder="0" shrinkToFit="0" vertical="center" wrapText="1"/>
    </xf>
    <xf borderId="7" fillId="2" fontId="19" numFmtId="0" xfId="0" applyAlignment="1" applyBorder="1" applyFont="1">
      <alignment horizontal="center" readingOrder="0" shrinkToFit="0" vertical="center" wrapText="1"/>
    </xf>
    <xf borderId="7" fillId="3" fontId="9" numFmtId="0" xfId="0" applyAlignment="1" applyBorder="1" applyFont="1">
      <alignment horizontal="center" readingOrder="0"/>
    </xf>
    <xf borderId="4" fillId="2" fontId="17" numFmtId="0" xfId="0" applyAlignment="1" applyBorder="1" applyFont="1">
      <alignment horizontal="center" readingOrder="0" shrinkToFit="0" vertical="top" wrapText="1"/>
    </xf>
    <xf borderId="4" fillId="2" fontId="25" numFmtId="0" xfId="0" applyAlignment="1" applyBorder="1" applyFont="1">
      <alignment horizontal="center" readingOrder="0" shrinkToFit="0" vertical="top" wrapText="1"/>
    </xf>
    <xf borderId="4" fillId="3" fontId="7" numFmtId="0" xfId="0" applyAlignment="1" applyBorder="1" applyFont="1">
      <alignment horizontal="center" readingOrder="0" shrinkToFit="0" vertical="center" wrapText="1"/>
    </xf>
    <xf borderId="4" fillId="3" fontId="1" numFmtId="0" xfId="0" applyBorder="1" applyFont="1"/>
    <xf borderId="3" fillId="3" fontId="7" numFmtId="0" xfId="0" applyAlignment="1" applyBorder="1" applyFont="1">
      <alignment horizontal="center" readingOrder="0" shrinkToFit="0" vertical="center" wrapText="1"/>
    </xf>
    <xf borderId="7" fillId="3" fontId="1" numFmtId="0" xfId="0" applyBorder="1" applyFont="1"/>
    <xf borderId="0" fillId="0" fontId="7" numFmtId="0" xfId="0" applyAlignment="1" applyFont="1">
      <alignment horizontal="center" readingOrder="0" shrinkToFit="0" vertical="center" wrapText="1"/>
    </xf>
  </cellXfs>
  <cellStyles count="1">
    <cellStyle xfId="0" name="Normal" builtinId="0"/>
  </cellStyles>
  <dxfs count="3">
    <dxf>
      <font/>
      <fill>
        <patternFill patternType="solid">
          <fgColor rgb="FFB7E1CD"/>
          <bgColor rgb="FFB7E1CD"/>
        </patternFill>
      </fill>
      <border/>
    </dxf>
    <dxf>
      <font/>
      <fill>
        <patternFill patternType="solid">
          <fgColor rgb="FF666666"/>
          <bgColor rgb="FF666666"/>
        </patternFill>
      </fill>
      <border/>
    </dxf>
    <dxf>
      <font>
        <color rgb="FF666666"/>
      </font>
      <fill>
        <patternFill patternType="solid">
          <fgColor rgb="FF666666"/>
          <bgColor rgb="FF66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1" t="s">
        <v>0</v>
      </c>
      <c r="D1" s="1" t="s">
        <v>1</v>
      </c>
      <c r="E1" s="1" t="s">
        <v>2</v>
      </c>
      <c r="F1" s="1" t="s">
        <v>3</v>
      </c>
      <c r="G1" s="1" t="s">
        <v>4</v>
      </c>
      <c r="H1" s="1" t="s">
        <v>5</v>
      </c>
    </row>
    <row r="2">
      <c r="C2" s="2">
        <f>'Ficha Pessoal'!L10+12+IF('Ficha Pessoal'!BD3 &gt; 1,(6+'Ficha Pessoal'!L10)*('Ficha Pessoal'!BD3-1), +0)</f>
        <v>46</v>
      </c>
      <c r="D2" s="2">
        <f>'Ficha Pessoal'!L10+12+IF('Ficha Pessoal'!BD3 &gt; 1,(6+'Ficha Pessoal'!L10)*('Ficha Pessoal'!BD3-1), +0)</f>
        <v>46</v>
      </c>
      <c r="E2" s="2">
        <f>'Ficha Pessoal'!L10+10+IF('Ficha Pessoal'!BD3 &gt; 1,(5+'Ficha Pessoal'!L10)*('Ficha Pessoal'!BD3-1), +0)</f>
        <v>40</v>
      </c>
      <c r="F2" s="2">
        <f>IF(F4 &gt;= 1, MAX(Pre,Sab)+10, 'Ficha Pessoal'!L10+10)+IF('Ficha Pessoal'!BD3 &gt; 1, IF(F4 &gt;= 1, (MAX(Pre,Sab)+5)*('Ficha Pessoal'!BD3-1), (5+'Ficha Pessoal'!L10)*('Ficha Pessoal'!BD3-1)), +0)</f>
        <v>40</v>
      </c>
      <c r="G2" s="2">
        <f>'Ficha Pessoal'!L10+10+IF('Ficha Pessoal'!BD3 &gt; 1,(5+'Ficha Pessoal'!L10)*('Ficha Pessoal'!BD3-1), +0)</f>
        <v>40</v>
      </c>
      <c r="H2" s="2">
        <f>'Ficha Pessoal'!L10+16+IF('Ficha Pessoal'!BD3 &gt; 1,(7+'Ficha Pessoal'!L10)*('Ficha Pessoal'!BD3-1), +0)</f>
        <v>54</v>
      </c>
    </row>
    <row r="3">
      <c r="C3" s="3"/>
      <c r="D3" s="3"/>
      <c r="E3" s="3"/>
      <c r="F3" s="3"/>
      <c r="G3" s="3"/>
      <c r="H3" s="3"/>
    </row>
    <row r="4">
      <c r="F4" s="4">
        <f>COUNTIF('Ficha Pessoal'!BH9:BM35, "Físico Controlado")+COUNTIF('Ficha Pessoal'!BH9:BM35, "Fisico Controlado")</f>
        <v>0</v>
      </c>
    </row>
  </sheetData>
  <mergeCells count="6">
    <mergeCell ref="C2:C3"/>
    <mergeCell ref="D2:D3"/>
    <mergeCell ref="E2:E3"/>
    <mergeCell ref="F2:F3"/>
    <mergeCell ref="G2:G3"/>
    <mergeCell ref="H2:H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72" width="3.25"/>
  </cols>
  <sheetData>
    <row r="1">
      <c r="A1" s="5"/>
    </row>
    <row r="2">
      <c r="A2" s="6"/>
      <c r="B2" s="7" t="s">
        <v>6</v>
      </c>
      <c r="C2" s="8"/>
      <c r="D2" s="8"/>
      <c r="E2" s="8"/>
      <c r="F2" s="8"/>
      <c r="G2" s="8"/>
      <c r="H2" s="8"/>
      <c r="I2" s="8"/>
      <c r="J2" s="8"/>
      <c r="K2" s="8"/>
      <c r="L2" s="8"/>
      <c r="M2" s="9"/>
      <c r="N2" s="10"/>
      <c r="O2" s="11" t="s">
        <v>7</v>
      </c>
      <c r="P2" s="8"/>
      <c r="Q2" s="8"/>
      <c r="R2" s="9"/>
      <c r="S2" s="12" t="s">
        <v>8</v>
      </c>
      <c r="T2" s="8"/>
      <c r="U2" s="8"/>
      <c r="V2" s="8"/>
      <c r="W2" s="8"/>
      <c r="X2" s="8"/>
      <c r="Y2" s="8"/>
      <c r="Z2" s="8"/>
      <c r="AA2" s="8"/>
      <c r="AB2" s="9"/>
      <c r="AC2" s="13" t="s">
        <v>9</v>
      </c>
      <c r="AD2" s="14"/>
      <c r="AE2" s="14"/>
      <c r="AF2" s="14"/>
      <c r="AG2" s="15"/>
      <c r="AH2" s="16" t="s">
        <v>10</v>
      </c>
      <c r="AI2" s="14"/>
      <c r="AJ2" s="14"/>
      <c r="AK2" s="14"/>
      <c r="AL2" s="14"/>
      <c r="AM2" s="14"/>
      <c r="AN2" s="14"/>
      <c r="AO2" s="15"/>
      <c r="AP2" s="13" t="s">
        <v>11</v>
      </c>
      <c r="AQ2" s="14"/>
      <c r="AR2" s="14"/>
      <c r="AS2" s="14"/>
      <c r="AT2" s="15"/>
      <c r="AU2" s="16"/>
      <c r="AV2" s="14"/>
      <c r="AW2" s="14"/>
      <c r="AX2" s="14"/>
      <c r="AY2" s="14"/>
      <c r="AZ2" s="14"/>
      <c r="BA2" s="14"/>
      <c r="BB2" s="15"/>
      <c r="BC2" s="6"/>
      <c r="BD2" s="17" t="s">
        <v>12</v>
      </c>
      <c r="BE2" s="14"/>
      <c r="BF2" s="15"/>
      <c r="BG2" s="18">
        <v>6.0</v>
      </c>
      <c r="BH2" s="19" t="s">
        <v>13</v>
      </c>
      <c r="BI2" s="14"/>
      <c r="BJ2" s="15"/>
      <c r="BK2" s="20" t="s">
        <v>14</v>
      </c>
    </row>
    <row r="3">
      <c r="B3" s="21"/>
      <c r="C3" s="22"/>
      <c r="D3" s="22"/>
      <c r="E3" s="22"/>
      <c r="F3" s="22"/>
      <c r="G3" s="22"/>
      <c r="H3" s="22"/>
      <c r="I3" s="22"/>
      <c r="J3" s="22"/>
      <c r="K3" s="22"/>
      <c r="L3" s="22"/>
      <c r="M3" s="23"/>
      <c r="O3" s="21"/>
      <c r="P3" s="22"/>
      <c r="Q3" s="22"/>
      <c r="R3" s="23"/>
      <c r="S3" s="21"/>
      <c r="T3" s="22"/>
      <c r="U3" s="22"/>
      <c r="V3" s="22"/>
      <c r="W3" s="22"/>
      <c r="X3" s="22"/>
      <c r="Y3" s="22"/>
      <c r="Z3" s="22"/>
      <c r="AA3" s="22"/>
      <c r="AB3" s="23"/>
      <c r="AC3" s="13" t="s">
        <v>15</v>
      </c>
      <c r="AD3" s="14"/>
      <c r="AE3" s="14"/>
      <c r="AF3" s="14"/>
      <c r="AG3" s="15"/>
      <c r="AH3" s="16" t="s">
        <v>4</v>
      </c>
      <c r="AI3" s="14"/>
      <c r="AJ3" s="14"/>
      <c r="AK3" s="14"/>
      <c r="AL3" s="14"/>
      <c r="AM3" s="14"/>
      <c r="AN3" s="14"/>
      <c r="AO3" s="15"/>
      <c r="AP3" s="13" t="s">
        <v>16</v>
      </c>
      <c r="AQ3" s="14"/>
      <c r="AR3" s="14"/>
      <c r="AS3" s="14"/>
      <c r="AT3" s="15"/>
      <c r="AU3" s="16"/>
      <c r="AV3" s="14"/>
      <c r="AW3" s="14"/>
      <c r="AX3" s="14"/>
      <c r="AY3" s="14"/>
      <c r="AZ3" s="14"/>
      <c r="BA3" s="14"/>
      <c r="BB3" s="15"/>
      <c r="BD3" s="24">
        <v>5.0</v>
      </c>
      <c r="BE3" s="8"/>
      <c r="BF3" s="9"/>
      <c r="BH3" s="25">
        <f>Int(SUM(1+ROUNDUP(BD3/4,0)))</f>
        <v>3</v>
      </c>
      <c r="BI3" s="8"/>
      <c r="BJ3" s="9"/>
    </row>
    <row r="4">
      <c r="B4" s="6"/>
      <c r="C4" s="17" t="s">
        <v>17</v>
      </c>
      <c r="D4" s="14"/>
      <c r="E4" s="14"/>
      <c r="F4" s="14"/>
      <c r="G4" s="14"/>
      <c r="H4" s="14"/>
      <c r="I4" s="14"/>
      <c r="J4" s="14"/>
      <c r="K4" s="14"/>
      <c r="L4" s="15"/>
      <c r="M4" s="6"/>
      <c r="O4" s="26" t="s">
        <v>18</v>
      </c>
      <c r="P4" s="14"/>
      <c r="Q4" s="14"/>
      <c r="R4" s="15"/>
      <c r="S4" s="16" t="s">
        <v>19</v>
      </c>
      <c r="T4" s="14"/>
      <c r="U4" s="14"/>
      <c r="V4" s="14"/>
      <c r="W4" s="14"/>
      <c r="X4" s="14"/>
      <c r="Y4" s="14"/>
      <c r="Z4" s="14"/>
      <c r="AA4" s="14"/>
      <c r="AB4" s="15"/>
      <c r="AC4" s="13" t="s">
        <v>20</v>
      </c>
      <c r="AD4" s="14"/>
      <c r="AE4" s="14"/>
      <c r="AF4" s="14"/>
      <c r="AG4" s="15"/>
      <c r="AH4" s="16" t="s">
        <v>21</v>
      </c>
      <c r="AI4" s="14"/>
      <c r="AJ4" s="14"/>
      <c r="AK4" s="14"/>
      <c r="AL4" s="14"/>
      <c r="AM4" s="14"/>
      <c r="AN4" s="14"/>
      <c r="AO4" s="15"/>
      <c r="AP4" s="13" t="s">
        <v>22</v>
      </c>
      <c r="AQ4" s="14"/>
      <c r="AR4" s="14"/>
      <c r="AS4" s="14"/>
      <c r="AT4" s="15"/>
      <c r="AU4" s="16"/>
      <c r="AV4" s="14"/>
      <c r="AW4" s="14"/>
      <c r="AX4" s="14"/>
      <c r="AY4" s="14"/>
      <c r="AZ4" s="14"/>
      <c r="BA4" s="14"/>
      <c r="BB4" s="15"/>
      <c r="BD4" s="21"/>
      <c r="BE4" s="22"/>
      <c r="BF4" s="23"/>
      <c r="BH4" s="21"/>
      <c r="BI4" s="22"/>
      <c r="BJ4" s="23"/>
    </row>
    <row r="5">
      <c r="A5" s="6"/>
    </row>
    <row r="6">
      <c r="A6" s="6"/>
      <c r="B6" s="27" t="s">
        <v>23</v>
      </c>
      <c r="C6" s="8"/>
      <c r="D6" s="8"/>
      <c r="E6" s="8"/>
      <c r="F6" s="8"/>
      <c r="G6" s="8"/>
      <c r="H6" s="8"/>
      <c r="I6" s="8"/>
      <c r="J6" s="8"/>
      <c r="K6" s="8"/>
      <c r="L6" s="8"/>
      <c r="M6" s="9"/>
      <c r="N6" s="6"/>
      <c r="O6" s="17" t="s">
        <v>24</v>
      </c>
      <c r="P6" s="14"/>
      <c r="Q6" s="14"/>
      <c r="R6" s="14"/>
      <c r="S6" s="14"/>
      <c r="T6" s="14"/>
      <c r="U6" s="14"/>
      <c r="V6" s="14"/>
      <c r="W6" s="15"/>
      <c r="X6" s="17" t="s">
        <v>25</v>
      </c>
      <c r="Y6" s="14"/>
      <c r="Z6" s="14"/>
      <c r="AA6" s="15"/>
      <c r="AB6" s="28"/>
      <c r="AC6" s="17" t="s">
        <v>26</v>
      </c>
      <c r="AD6" s="14"/>
      <c r="AE6" s="14"/>
      <c r="AF6" s="14"/>
      <c r="AG6" s="14"/>
      <c r="AH6" s="14"/>
      <c r="AI6" s="14"/>
      <c r="AJ6" s="14"/>
      <c r="AK6" s="15"/>
      <c r="AL6" s="28"/>
      <c r="AM6" s="17" t="s">
        <v>27</v>
      </c>
      <c r="AN6" s="14"/>
      <c r="AO6" s="14"/>
      <c r="AP6" s="14"/>
      <c r="AQ6" s="14"/>
      <c r="AR6" s="14"/>
      <c r="AS6" s="14"/>
      <c r="AT6" s="14"/>
      <c r="AU6" s="14"/>
      <c r="AV6" s="14"/>
      <c r="AW6" s="14"/>
      <c r="AX6" s="15"/>
      <c r="AY6" s="28"/>
      <c r="AZ6" s="17" t="s">
        <v>28</v>
      </c>
      <c r="BA6" s="14"/>
      <c r="BB6" s="14"/>
      <c r="BC6" s="14"/>
      <c r="BD6" s="14"/>
      <c r="BE6" s="15"/>
      <c r="BF6" s="28"/>
      <c r="BG6" s="29"/>
      <c r="BH6" s="30" t="s">
        <v>29</v>
      </c>
      <c r="BI6" s="8"/>
      <c r="BJ6" s="8"/>
      <c r="BK6" s="8"/>
      <c r="BL6" s="8"/>
      <c r="BM6" s="8"/>
      <c r="BN6" s="8"/>
      <c r="BO6" s="8"/>
      <c r="BP6" s="8"/>
      <c r="BQ6" s="8"/>
      <c r="BR6" s="8"/>
      <c r="BS6" s="9"/>
      <c r="BT6" s="29"/>
    </row>
    <row r="7">
      <c r="B7" s="21"/>
      <c r="C7" s="22"/>
      <c r="D7" s="22"/>
      <c r="E7" s="22"/>
      <c r="F7" s="22"/>
      <c r="G7" s="22"/>
      <c r="H7" s="22"/>
      <c r="I7" s="22"/>
      <c r="J7" s="22"/>
      <c r="K7" s="22"/>
      <c r="L7" s="22"/>
      <c r="M7" s="23"/>
      <c r="O7" s="17" t="s">
        <v>30</v>
      </c>
      <c r="P7" s="14"/>
      <c r="Q7" s="15"/>
      <c r="R7" s="17" t="s">
        <v>31</v>
      </c>
      <c r="S7" s="14"/>
      <c r="T7" s="15"/>
      <c r="U7" s="17" t="s">
        <v>32</v>
      </c>
      <c r="V7" s="14"/>
      <c r="W7" s="15"/>
      <c r="X7" s="26" t="s">
        <v>33</v>
      </c>
      <c r="Y7" s="14"/>
      <c r="Z7" s="15"/>
      <c r="AA7" s="31" t="b">
        <v>0</v>
      </c>
      <c r="AB7" s="28"/>
      <c r="AC7" s="17" t="s">
        <v>30</v>
      </c>
      <c r="AD7" s="14"/>
      <c r="AE7" s="15"/>
      <c r="AF7" s="17" t="s">
        <v>31</v>
      </c>
      <c r="AG7" s="14"/>
      <c r="AH7" s="15"/>
      <c r="AI7" s="17" t="s">
        <v>32</v>
      </c>
      <c r="AJ7" s="14"/>
      <c r="AK7" s="15"/>
      <c r="AL7" s="28"/>
      <c r="AM7" s="17" t="s">
        <v>34</v>
      </c>
      <c r="AN7" s="14"/>
      <c r="AO7" s="15"/>
      <c r="AP7" s="17" t="s">
        <v>31</v>
      </c>
      <c r="AQ7" s="14"/>
      <c r="AR7" s="15"/>
      <c r="AS7" s="17" t="s">
        <v>35</v>
      </c>
      <c r="AT7" s="14"/>
      <c r="AU7" s="15"/>
      <c r="AV7" s="32" t="s">
        <v>36</v>
      </c>
      <c r="AW7" s="8"/>
      <c r="AX7" s="9"/>
      <c r="AY7" s="28"/>
      <c r="AZ7" s="33" t="s">
        <v>37</v>
      </c>
      <c r="BA7" s="14"/>
      <c r="BB7" s="15"/>
      <c r="BC7" s="19" t="s">
        <v>38</v>
      </c>
      <c r="BD7" s="15"/>
      <c r="BE7" s="34">
        <v>10.0</v>
      </c>
      <c r="BF7" s="28"/>
      <c r="BH7" s="21"/>
      <c r="BI7" s="22"/>
      <c r="BJ7" s="22"/>
      <c r="BK7" s="22"/>
      <c r="BL7" s="22"/>
      <c r="BM7" s="22"/>
      <c r="BN7" s="22"/>
      <c r="BO7" s="22"/>
      <c r="BP7" s="22"/>
      <c r="BQ7" s="22"/>
      <c r="BR7" s="22"/>
      <c r="BS7" s="23"/>
    </row>
    <row r="8">
      <c r="B8" s="35" t="s">
        <v>39</v>
      </c>
      <c r="C8" s="14"/>
      <c r="D8" s="14"/>
      <c r="E8" s="15"/>
      <c r="F8" s="35" t="s">
        <v>40</v>
      </c>
      <c r="G8" s="14"/>
      <c r="H8" s="14"/>
      <c r="I8" s="15"/>
      <c r="J8" s="35" t="s">
        <v>41</v>
      </c>
      <c r="K8" s="14"/>
      <c r="L8" s="14"/>
      <c r="M8" s="15"/>
      <c r="O8" s="36">
        <f>U8-R8</f>
        <v>6</v>
      </c>
      <c r="P8" s="8"/>
      <c r="Q8" s="9"/>
      <c r="R8" s="36" t="s">
        <v>42</v>
      </c>
      <c r="S8" s="8"/>
      <c r="T8" s="9"/>
      <c r="U8" s="37">
        <f>AM8</f>
        <v>40</v>
      </c>
      <c r="V8" s="8"/>
      <c r="W8" s="9"/>
      <c r="X8" s="38" t="s">
        <v>43</v>
      </c>
      <c r="Y8" s="14"/>
      <c r="Z8" s="15"/>
      <c r="AA8" s="31" t="b">
        <v>0</v>
      </c>
      <c r="AB8" s="28"/>
      <c r="AC8" s="36" t="s">
        <v>44</v>
      </c>
      <c r="AD8" s="8"/>
      <c r="AE8" s="9"/>
      <c r="AF8" s="36" t="s">
        <v>45</v>
      </c>
      <c r="AG8" s="8"/>
      <c r="AH8" s="9"/>
      <c r="AI8" s="37" t="s">
        <v>44</v>
      </c>
      <c r="AJ8" s="8"/>
      <c r="AK8" s="9"/>
      <c r="AL8" s="28"/>
      <c r="AM8" s="36">
        <f>AS8-AP8</f>
        <v>40</v>
      </c>
      <c r="AN8" s="8"/>
      <c r="AO8" s="9"/>
      <c r="AP8" s="36"/>
      <c r="AQ8" s="8"/>
      <c r="AR8" s="9"/>
      <c r="AS8" s="37">
        <f>IFS(AH3 = "Lutador", Calculos!C2, AH3 = "Especialista em Combate", Calculos!D2, AH3 = "Especialista em Técnica", Calculos!E2, AH3 = "Suporte", Calculos!F2, AH3 = "Controlador", Calculos!G2,AH3 = "Restringido", Calculos!H2, TRUE, 0)
+IF(AA7 = TRUE, IF(BD3 &gt;= 10, Con+(1*BD3), 1*BD3), +0)
+IF(AA8 = TRUE, 1*BD3, 0)
+IF(AA9 = TRUE, 1*BD3, 0)
+IF(AA10 = TRUE, 1*BD3, 0)
+Z11
+IF(Treinamentos!AS17 = TRUE, 4, 0)
+IF(Treinamentos!AS20 = TRUE, 16, 0)</f>
        <v>40</v>
      </c>
      <c r="AT8" s="8"/>
      <c r="AU8" s="9"/>
      <c r="AV8" s="21"/>
      <c r="AW8" s="22"/>
      <c r="AX8" s="23"/>
      <c r="AY8" s="28"/>
      <c r="AZ8" s="39">
        <f>BE7+BE8+BE9+BE10+BE11+IF(Treinamentos!I18 = TRUE, +2, +0)</f>
        <v>18</v>
      </c>
      <c r="BA8" s="8"/>
      <c r="BB8" s="9"/>
      <c r="BC8" s="19" t="s">
        <v>46</v>
      </c>
      <c r="BD8" s="15"/>
      <c r="BE8" s="34"/>
      <c r="BF8" s="28"/>
      <c r="BH8" s="17" t="s">
        <v>47</v>
      </c>
      <c r="BI8" s="14"/>
      <c r="BJ8" s="14"/>
      <c r="BK8" s="14"/>
      <c r="BL8" s="14"/>
      <c r="BM8" s="15"/>
      <c r="BN8" s="17" t="s">
        <v>48</v>
      </c>
      <c r="BO8" s="15"/>
      <c r="BP8" s="17" t="s">
        <v>49</v>
      </c>
      <c r="BQ8" s="15"/>
      <c r="BR8" s="17" t="s">
        <v>50</v>
      </c>
      <c r="BS8" s="15"/>
    </row>
    <row r="9">
      <c r="B9" s="40" t="s">
        <v>51</v>
      </c>
      <c r="C9" s="9"/>
      <c r="D9" s="40" t="s">
        <v>52</v>
      </c>
      <c r="E9" s="9"/>
      <c r="F9" s="40" t="s">
        <v>51</v>
      </c>
      <c r="G9" s="9"/>
      <c r="H9" s="40" t="s">
        <v>52</v>
      </c>
      <c r="I9" s="9"/>
      <c r="J9" s="40" t="s">
        <v>51</v>
      </c>
      <c r="K9" s="9"/>
      <c r="L9" s="40" t="s">
        <v>52</v>
      </c>
      <c r="M9" s="9"/>
      <c r="O9" s="41"/>
      <c r="Q9" s="42"/>
      <c r="R9" s="41"/>
      <c r="T9" s="42"/>
      <c r="U9" s="41"/>
      <c r="W9" s="42"/>
      <c r="X9" s="26" t="s">
        <v>53</v>
      </c>
      <c r="Y9" s="14"/>
      <c r="Z9" s="15"/>
      <c r="AA9" s="31" t="b">
        <v>0</v>
      </c>
      <c r="AB9" s="28"/>
      <c r="AC9" s="41"/>
      <c r="AE9" s="42"/>
      <c r="AF9" s="41"/>
      <c r="AH9" s="42"/>
      <c r="AI9" s="41"/>
      <c r="AK9" s="42"/>
      <c r="AL9" s="28"/>
      <c r="AM9" s="41"/>
      <c r="AO9" s="42"/>
      <c r="AP9" s="41"/>
      <c r="AR9" s="42"/>
      <c r="AS9" s="41"/>
      <c r="AU9" s="42"/>
      <c r="AV9" s="43" t="str">
        <f>IFS(AM8&lt;=0, "Morto", AM8&lt;=AS8*0.25, "Crítico", AM8&lt;=AS8*0.5, "Instável", AM8&lt;=AS8*0.75, "Danificado", TRUE, "Estavel")
</f>
        <v>Estavel</v>
      </c>
      <c r="AW9" s="14"/>
      <c r="AX9" s="15"/>
      <c r="AY9" s="28"/>
      <c r="AZ9" s="41"/>
      <c r="BB9" s="42"/>
      <c r="BC9" s="19" t="s">
        <v>54</v>
      </c>
      <c r="BD9" s="15"/>
      <c r="BE9" s="44">
        <f>Des</f>
        <v>2</v>
      </c>
      <c r="BF9" s="28"/>
      <c r="BH9" s="45" t="s">
        <v>55</v>
      </c>
      <c r="BI9" s="14"/>
      <c r="BJ9" s="14"/>
      <c r="BK9" s="14"/>
      <c r="BL9" s="14"/>
      <c r="BM9" s="15"/>
      <c r="BN9" s="46"/>
      <c r="BO9" s="15"/>
      <c r="BP9" s="46"/>
      <c r="BQ9" s="15"/>
      <c r="BR9" s="46"/>
      <c r="BS9" s="15"/>
    </row>
    <row r="10">
      <c r="B10" s="12">
        <v>8.0</v>
      </c>
      <c r="C10" s="9"/>
      <c r="D10" s="47">
        <f>IF(B10&gt;=10,ROUNDDOWN((B10-10)/2,0),ROUNDUP((B10-10)/2,0))</f>
        <v>-1</v>
      </c>
      <c r="E10" s="9"/>
      <c r="F10" s="12">
        <v>14.0</v>
      </c>
      <c r="G10" s="9"/>
      <c r="H10" s="47">
        <f>IF(F10&gt;=10,ROUNDDOWN((F10-10)/2,0),ROUNDUP((F10-10)/2,0))</f>
        <v>2</v>
      </c>
      <c r="I10" s="9"/>
      <c r="J10" s="12">
        <v>14.0</v>
      </c>
      <c r="K10" s="9"/>
      <c r="L10" s="47">
        <f>IF(J10&gt;=10,ROUNDDOWN((J10-10)/2,0),ROUNDUP((J10-10)/2,0))</f>
        <v>2</v>
      </c>
      <c r="M10" s="9"/>
      <c r="O10" s="41"/>
      <c r="Q10" s="42"/>
      <c r="R10" s="41"/>
      <c r="T10" s="42"/>
      <c r="U10" s="41"/>
      <c r="W10" s="42"/>
      <c r="X10" s="38" t="s">
        <v>56</v>
      </c>
      <c r="Y10" s="14"/>
      <c r="Z10" s="15"/>
      <c r="AA10" s="31" t="b">
        <v>0</v>
      </c>
      <c r="AB10" s="28"/>
      <c r="AC10" s="41"/>
      <c r="AE10" s="42"/>
      <c r="AF10" s="41"/>
      <c r="AH10" s="42"/>
      <c r="AI10" s="41"/>
      <c r="AK10" s="42"/>
      <c r="AL10" s="28"/>
      <c r="AM10" s="41"/>
      <c r="AO10" s="42"/>
      <c r="AP10" s="41"/>
      <c r="AR10" s="42"/>
      <c r="AS10" s="41"/>
      <c r="AU10" s="42"/>
      <c r="AV10" s="13" t="s">
        <v>57</v>
      </c>
      <c r="AW10" s="14"/>
      <c r="AX10" s="15"/>
      <c r="AY10" s="28"/>
      <c r="AZ10" s="41"/>
      <c r="BB10" s="42"/>
      <c r="BC10" s="19" t="s">
        <v>58</v>
      </c>
      <c r="BD10" s="15"/>
      <c r="BE10" s="34">
        <f>ROUNDDOWN(BD3/2,0)</f>
        <v>2</v>
      </c>
      <c r="BF10" s="28"/>
      <c r="BH10" s="45" t="s">
        <v>59</v>
      </c>
      <c r="BI10" s="14"/>
      <c r="BJ10" s="14"/>
      <c r="BK10" s="14"/>
      <c r="BL10" s="14"/>
      <c r="BM10" s="15"/>
      <c r="BN10" s="46"/>
      <c r="BO10" s="15"/>
      <c r="BP10" s="46"/>
      <c r="BQ10" s="15"/>
      <c r="BR10" s="46"/>
      <c r="BS10" s="15"/>
    </row>
    <row r="11">
      <c r="B11" s="21"/>
      <c r="C11" s="23"/>
      <c r="D11" s="21"/>
      <c r="E11" s="23"/>
      <c r="F11" s="21"/>
      <c r="G11" s="23"/>
      <c r="H11" s="21"/>
      <c r="I11" s="23"/>
      <c r="J11" s="21"/>
      <c r="K11" s="23"/>
      <c r="L11" s="21"/>
      <c r="M11" s="23"/>
      <c r="O11" s="21"/>
      <c r="P11" s="22"/>
      <c r="Q11" s="23"/>
      <c r="R11" s="21"/>
      <c r="S11" s="22"/>
      <c r="T11" s="23"/>
      <c r="U11" s="21"/>
      <c r="V11" s="22"/>
      <c r="W11" s="23"/>
      <c r="X11" s="26" t="s">
        <v>60</v>
      </c>
      <c r="Y11" s="15"/>
      <c r="Z11" s="48"/>
      <c r="AA11" s="15"/>
      <c r="AB11" s="28"/>
      <c r="AC11" s="21"/>
      <c r="AD11" s="22"/>
      <c r="AE11" s="23"/>
      <c r="AF11" s="21"/>
      <c r="AG11" s="22"/>
      <c r="AH11" s="23"/>
      <c r="AI11" s="21"/>
      <c r="AJ11" s="22"/>
      <c r="AK11" s="23"/>
      <c r="AL11" s="28"/>
      <c r="AM11" s="21"/>
      <c r="AN11" s="22"/>
      <c r="AO11" s="23"/>
      <c r="AP11" s="21"/>
      <c r="AQ11" s="22"/>
      <c r="AR11" s="23"/>
      <c r="AS11" s="21"/>
      <c r="AT11" s="22"/>
      <c r="AU11" s="23"/>
      <c r="AV11" s="49">
        <v>0.0</v>
      </c>
      <c r="AW11" s="14"/>
      <c r="AX11" s="15"/>
      <c r="AY11" s="28"/>
      <c r="AZ11" s="21"/>
      <c r="BA11" s="22"/>
      <c r="BB11" s="23"/>
      <c r="BC11" s="19" t="s">
        <v>60</v>
      </c>
      <c r="BD11" s="15"/>
      <c r="BE11" s="34">
        <v>4.0</v>
      </c>
      <c r="BF11" s="28"/>
      <c r="BH11" s="45" t="s">
        <v>61</v>
      </c>
      <c r="BI11" s="14"/>
      <c r="BJ11" s="14"/>
      <c r="BK11" s="14"/>
      <c r="BL11" s="14"/>
      <c r="BM11" s="15"/>
      <c r="BN11" s="46"/>
      <c r="BO11" s="15"/>
      <c r="BP11" s="46"/>
      <c r="BQ11" s="15"/>
      <c r="BR11" s="46"/>
      <c r="BS11" s="15"/>
    </row>
    <row r="12">
      <c r="B12" s="35" t="s">
        <v>62</v>
      </c>
      <c r="C12" s="14"/>
      <c r="D12" s="14"/>
      <c r="E12" s="15"/>
      <c r="F12" s="35" t="s">
        <v>63</v>
      </c>
      <c r="G12" s="14"/>
      <c r="H12" s="14"/>
      <c r="I12" s="15"/>
      <c r="J12" s="35" t="s">
        <v>64</v>
      </c>
      <c r="K12" s="14"/>
      <c r="L12" s="14"/>
      <c r="M12" s="15"/>
      <c r="O12" s="50"/>
      <c r="AZ12" s="28"/>
      <c r="BA12" s="28"/>
      <c r="BB12" s="28"/>
      <c r="BC12" s="28"/>
      <c r="BD12" s="28"/>
      <c r="BE12" s="28"/>
      <c r="BF12" s="28"/>
      <c r="BH12" s="45" t="s">
        <v>65</v>
      </c>
      <c r="BI12" s="14"/>
      <c r="BJ12" s="14"/>
      <c r="BK12" s="14"/>
      <c r="BL12" s="14"/>
      <c r="BM12" s="15"/>
      <c r="BN12" s="46"/>
      <c r="BO12" s="15"/>
      <c r="BP12" s="46"/>
      <c r="BQ12" s="15"/>
      <c r="BR12" s="46"/>
      <c r="BS12" s="15"/>
    </row>
    <row r="13">
      <c r="B13" s="40" t="s">
        <v>51</v>
      </c>
      <c r="C13" s="9"/>
      <c r="D13" s="40" t="s">
        <v>52</v>
      </c>
      <c r="E13" s="9"/>
      <c r="F13" s="40" t="s">
        <v>51</v>
      </c>
      <c r="G13" s="9"/>
      <c r="H13" s="40" t="s">
        <v>52</v>
      </c>
      <c r="I13" s="9"/>
      <c r="J13" s="40" t="s">
        <v>51</v>
      </c>
      <c r="K13" s="9"/>
      <c r="L13" s="40" t="s">
        <v>52</v>
      </c>
      <c r="M13" s="9"/>
      <c r="O13" s="51" t="s">
        <v>66</v>
      </c>
      <c r="P13" s="14"/>
      <c r="Q13" s="14"/>
      <c r="R13" s="14"/>
      <c r="S13" s="14"/>
      <c r="T13" s="14"/>
      <c r="U13" s="14"/>
      <c r="V13" s="14"/>
      <c r="W13" s="15"/>
      <c r="X13" s="52"/>
      <c r="Y13" s="26" t="s">
        <v>67</v>
      </c>
      <c r="Z13" s="14"/>
      <c r="AA13" s="14"/>
      <c r="AB13" s="14"/>
      <c r="AC13" s="14"/>
      <c r="AD13" s="14"/>
      <c r="AE13" s="14"/>
      <c r="AF13" s="14"/>
      <c r="AG13" s="14"/>
      <c r="AH13" s="14"/>
      <c r="AI13" s="14"/>
      <c r="AJ13" s="14"/>
      <c r="AK13" s="14"/>
      <c r="AL13" s="14"/>
      <c r="AM13" s="15"/>
      <c r="AN13" s="29"/>
      <c r="AO13" s="53" t="s">
        <v>68</v>
      </c>
      <c r="AP13" s="14"/>
      <c r="AQ13" s="15"/>
      <c r="AR13" s="54"/>
      <c r="AS13" s="53" t="s">
        <v>69</v>
      </c>
      <c r="AT13" s="14"/>
      <c r="AU13" s="14"/>
      <c r="AV13" s="14"/>
      <c r="AW13" s="14"/>
      <c r="AX13" s="15"/>
      <c r="AY13" s="55"/>
      <c r="AZ13" s="56" t="s">
        <v>70</v>
      </c>
      <c r="BA13" s="8"/>
      <c r="BB13" s="8"/>
      <c r="BC13" s="8"/>
      <c r="BD13" s="8"/>
      <c r="BE13" s="8"/>
      <c r="BF13" s="9"/>
      <c r="BH13" s="45" t="s">
        <v>71</v>
      </c>
      <c r="BI13" s="14"/>
      <c r="BJ13" s="14"/>
      <c r="BK13" s="14"/>
      <c r="BL13" s="14"/>
      <c r="BM13" s="15"/>
      <c r="BN13" s="46"/>
      <c r="BO13" s="15"/>
      <c r="BP13" s="46"/>
      <c r="BQ13" s="15"/>
      <c r="BR13" s="46"/>
      <c r="BS13" s="15"/>
    </row>
    <row r="14">
      <c r="B14" s="12">
        <v>12.0</v>
      </c>
      <c r="C14" s="9"/>
      <c r="D14" s="47">
        <f>IF(B14&gt;=10,ROUNDDOWN((B14-10)/2,0),ROUNDUP((B14-10)/2,0))</f>
        <v>1</v>
      </c>
      <c r="E14" s="9"/>
      <c r="F14" s="12">
        <v>10.0</v>
      </c>
      <c r="G14" s="9"/>
      <c r="H14" s="47">
        <f>IF(F14&gt;=10,ROUNDDOWN((F14-10)/2,0),ROUNDUP((F14-10)/2,0))</f>
        <v>0</v>
      </c>
      <c r="I14" s="9"/>
      <c r="J14" s="12">
        <v>19.0</v>
      </c>
      <c r="K14" s="9"/>
      <c r="L14" s="47">
        <f>IF(J14&gt;=10,ROUNDDOWN((J14-10)/2,0),ROUNDUP((J14-10)/2,0))</f>
        <v>4</v>
      </c>
      <c r="M14" s="9"/>
      <c r="O14" s="57" t="s">
        <v>72</v>
      </c>
      <c r="P14" s="14"/>
      <c r="Q14" s="15"/>
      <c r="R14" s="57" t="s">
        <v>73</v>
      </c>
      <c r="S14" s="14"/>
      <c r="T14" s="15"/>
      <c r="U14" s="57" t="s">
        <v>74</v>
      </c>
      <c r="V14" s="14"/>
      <c r="W14" s="15"/>
      <c r="Y14" s="58" t="s">
        <v>75</v>
      </c>
      <c r="Z14" s="14"/>
      <c r="AA14" s="15"/>
      <c r="AB14" s="58" t="s">
        <v>76</v>
      </c>
      <c r="AC14" s="14"/>
      <c r="AD14" s="15"/>
      <c r="AE14" s="58" t="s">
        <v>77</v>
      </c>
      <c r="AF14" s="14"/>
      <c r="AG14" s="15"/>
      <c r="AH14" s="58" t="s">
        <v>78</v>
      </c>
      <c r="AI14" s="14"/>
      <c r="AJ14" s="15"/>
      <c r="AK14" s="58" t="s">
        <v>79</v>
      </c>
      <c r="AL14" s="14"/>
      <c r="AM14" s="15"/>
      <c r="AO14" s="59">
        <v>9.0</v>
      </c>
      <c r="AP14" s="8"/>
      <c r="AQ14" s="9"/>
      <c r="AS14" s="60" t="s">
        <v>37</v>
      </c>
      <c r="AT14" s="14"/>
      <c r="AU14" s="15"/>
      <c r="AV14" s="60" t="s">
        <v>38</v>
      </c>
      <c r="AW14" s="15"/>
      <c r="AX14" s="61">
        <v>10.0</v>
      </c>
      <c r="AZ14" s="21"/>
      <c r="BA14" s="22"/>
      <c r="BB14" s="22"/>
      <c r="BC14" s="22"/>
      <c r="BD14" s="22"/>
      <c r="BE14" s="22"/>
      <c r="BF14" s="23"/>
      <c r="BH14" s="45" t="s">
        <v>80</v>
      </c>
      <c r="BI14" s="14"/>
      <c r="BJ14" s="14"/>
      <c r="BK14" s="14"/>
      <c r="BL14" s="14"/>
      <c r="BM14" s="15"/>
      <c r="BN14" s="46"/>
      <c r="BO14" s="15"/>
      <c r="BP14" s="46"/>
      <c r="BQ14" s="15"/>
      <c r="BR14" s="46"/>
      <c r="BS14" s="15"/>
    </row>
    <row r="15">
      <c r="B15" s="21"/>
      <c r="C15" s="23"/>
      <c r="D15" s="21"/>
      <c r="E15" s="23"/>
      <c r="F15" s="21"/>
      <c r="G15" s="23"/>
      <c r="H15" s="21"/>
      <c r="I15" s="23"/>
      <c r="J15" s="21"/>
      <c r="K15" s="23"/>
      <c r="L15" s="21"/>
      <c r="M15" s="23"/>
      <c r="O15" s="62">
        <f>P18+ROUNDDOWN(BD3/2,0)+ROUNDDOWN(IF(O20="FOR",For,Des)+IF(O18,BT,0),0)</f>
        <v>1</v>
      </c>
      <c r="P15" s="8"/>
      <c r="Q15" s="9"/>
      <c r="R15" s="62">
        <f>S18+ROUNDDOWN(BD3/2,0)+ROUNDDOWN(IF(R20="FOR",For,Des)+IF(R18,BT,0),0)</f>
        <v>4</v>
      </c>
      <c r="S15" s="8"/>
      <c r="T15" s="9"/>
      <c r="U15" s="62">
        <f>V18+ROUNDDOWN(BD3/2,0)+ROUNDDOWN(IFS(U20="FOR",For, U20="DES",Des, U20="Int",Int, U20="SAB",Sab, U20="Con", Con, U20="PRE", Pre)+IF(U18,BT,0),0)</f>
        <v>6</v>
      </c>
      <c r="V15" s="8"/>
      <c r="W15" s="9"/>
      <c r="Y15" s="63">
        <f>AA18+ROUNDDOWN(BD3/2,0)+ROUNDDOWN(IF(Z18,Int+BT*1.5,IF(Y18,Int+BT,Int)),0)</f>
        <v>3</v>
      </c>
      <c r="Z15" s="8"/>
      <c r="AA15" s="9"/>
      <c r="AB15" s="63">
        <f>AD18+ROUNDDOWN(BD3/2,0)+ROUNDDOWN(IF(AC18,Con+BT*1.5,IF(AB18,Con+BT,Con)),0)+IF(Treinamentos!AS19 = TRUE, +2, +0)+IF(AA8 = TRUE, +2, +0)</f>
        <v>4</v>
      </c>
      <c r="AC15" s="8"/>
      <c r="AD15" s="9"/>
      <c r="AE15" s="63">
        <f>AG18+ROUNDDOWN(BD3/2,0)+ROUNDDOWN(IF(AF18,Con+BT*1.5,IF(AE18,Con+BT,Con)),0)</f>
        <v>4</v>
      </c>
      <c r="AF15" s="8"/>
      <c r="AG15" s="9"/>
      <c r="AH15" s="63">
        <f>AJ18+ROUNDDOWN(BD3/2,0)+ROUNDDOWN(IF(AI18,Des+BT*1.5,IF(AH18,Des+BT,Des)),0)+IF(Treinamentos!I8 = TRUE, +2, +0)</f>
        <v>4</v>
      </c>
      <c r="AI15" s="8"/>
      <c r="AJ15" s="9"/>
      <c r="AK15" s="63">
        <f>AM18+ROUNDDOWN(BD3/2,0)+ROUNDDOWN(IF(AL18,Sab+BT*1.5,IF(AK18,Sab+BT,Sab)),0)</f>
        <v>5</v>
      </c>
      <c r="AL15" s="8"/>
      <c r="AM15" s="9"/>
      <c r="AO15" s="41"/>
      <c r="AQ15" s="42"/>
      <c r="AS15" s="39">
        <f>AX14+SWITCH(AX15, "F", For, "D", Des, "C", Con, "I", Int, "S", Sab, "P", Pre, 0)+AX16+AX17+AX18</f>
        <v>19</v>
      </c>
      <c r="AT15" s="8"/>
      <c r="AU15" s="9"/>
      <c r="AV15" s="60" t="s">
        <v>81</v>
      </c>
      <c r="AW15" s="15"/>
      <c r="AX15" s="61" t="s">
        <v>82</v>
      </c>
      <c r="AZ15" s="64" t="s">
        <v>83</v>
      </c>
      <c r="BA15" s="22"/>
      <c r="BB15" s="22"/>
      <c r="BC15" s="22"/>
      <c r="BD15" s="65" t="b">
        <v>0</v>
      </c>
      <c r="BE15" s="66" t="b">
        <v>0</v>
      </c>
      <c r="BF15" s="67" t="b">
        <v>0</v>
      </c>
      <c r="BH15" s="45"/>
      <c r="BI15" s="14"/>
      <c r="BJ15" s="14"/>
      <c r="BK15" s="14"/>
      <c r="BL15" s="14"/>
      <c r="BM15" s="15"/>
      <c r="BN15" s="46"/>
      <c r="BO15" s="15"/>
      <c r="BP15" s="46"/>
      <c r="BQ15" s="15"/>
      <c r="BR15" s="46"/>
      <c r="BS15" s="15"/>
    </row>
    <row r="16">
      <c r="B16" s="6"/>
      <c r="O16" s="21"/>
      <c r="P16" s="22"/>
      <c r="Q16" s="23"/>
      <c r="R16" s="21"/>
      <c r="S16" s="22"/>
      <c r="T16" s="23"/>
      <c r="U16" s="21"/>
      <c r="V16" s="22"/>
      <c r="W16" s="23"/>
      <c r="Y16" s="21"/>
      <c r="Z16" s="22"/>
      <c r="AA16" s="23"/>
      <c r="AB16" s="21"/>
      <c r="AC16" s="22"/>
      <c r="AD16" s="23"/>
      <c r="AE16" s="21"/>
      <c r="AF16" s="22"/>
      <c r="AG16" s="23"/>
      <c r="AH16" s="21"/>
      <c r="AI16" s="22"/>
      <c r="AJ16" s="23"/>
      <c r="AK16" s="21"/>
      <c r="AL16" s="22"/>
      <c r="AM16" s="23"/>
      <c r="AO16" s="41"/>
      <c r="AQ16" s="42"/>
      <c r="AS16" s="41"/>
      <c r="AU16" s="42"/>
      <c r="AV16" s="60" t="s">
        <v>84</v>
      </c>
      <c r="AW16" s="15"/>
      <c r="AX16" s="68">
        <f>BH3</f>
        <v>3</v>
      </c>
      <c r="AY16" s="69"/>
      <c r="AZ16" s="64" t="s">
        <v>85</v>
      </c>
      <c r="BA16" s="22"/>
      <c r="BB16" s="22"/>
      <c r="BC16" s="22"/>
      <c r="BD16" s="66" t="b">
        <v>0</v>
      </c>
      <c r="BE16" s="66" t="b">
        <v>0</v>
      </c>
      <c r="BF16" s="67" t="b">
        <v>0</v>
      </c>
      <c r="BH16" s="45"/>
      <c r="BI16" s="14"/>
      <c r="BJ16" s="14"/>
      <c r="BK16" s="14"/>
      <c r="BL16" s="14"/>
      <c r="BM16" s="15"/>
      <c r="BN16" s="46"/>
      <c r="BO16" s="15"/>
      <c r="BP16" s="46"/>
      <c r="BQ16" s="15"/>
      <c r="BR16" s="46"/>
      <c r="BS16" s="15"/>
    </row>
    <row r="17">
      <c r="B17" s="17" t="s">
        <v>86</v>
      </c>
      <c r="C17" s="14"/>
      <c r="D17" s="14"/>
      <c r="E17" s="14"/>
      <c r="F17" s="14"/>
      <c r="G17" s="15"/>
      <c r="H17" s="17" t="s">
        <v>87</v>
      </c>
      <c r="I17" s="14"/>
      <c r="J17" s="14"/>
      <c r="K17" s="14"/>
      <c r="L17" s="14"/>
      <c r="M17" s="15"/>
      <c r="O17" s="70" t="s">
        <v>88</v>
      </c>
      <c r="P17" s="51" t="s">
        <v>60</v>
      </c>
      <c r="Q17" s="15"/>
      <c r="R17" s="70" t="s">
        <v>88</v>
      </c>
      <c r="S17" s="51" t="s">
        <v>60</v>
      </c>
      <c r="T17" s="15"/>
      <c r="U17" s="70" t="s">
        <v>88</v>
      </c>
      <c r="V17" s="51" t="s">
        <v>60</v>
      </c>
      <c r="W17" s="15"/>
      <c r="Y17" s="71" t="s">
        <v>88</v>
      </c>
      <c r="Z17" s="71" t="s">
        <v>89</v>
      </c>
      <c r="AA17" s="71" t="s">
        <v>90</v>
      </c>
      <c r="AB17" s="71" t="s">
        <v>88</v>
      </c>
      <c r="AC17" s="71" t="s">
        <v>89</v>
      </c>
      <c r="AD17" s="71" t="s">
        <v>90</v>
      </c>
      <c r="AE17" s="71" t="s">
        <v>88</v>
      </c>
      <c r="AF17" s="71" t="s">
        <v>89</v>
      </c>
      <c r="AG17" s="71" t="s">
        <v>90</v>
      </c>
      <c r="AH17" s="71" t="s">
        <v>88</v>
      </c>
      <c r="AI17" s="71" t="s">
        <v>89</v>
      </c>
      <c r="AJ17" s="71" t="s">
        <v>90</v>
      </c>
      <c r="AK17" s="71" t="s">
        <v>88</v>
      </c>
      <c r="AL17" s="71" t="s">
        <v>89</v>
      </c>
      <c r="AM17" s="71" t="s">
        <v>90</v>
      </c>
      <c r="AO17" s="21"/>
      <c r="AP17" s="22"/>
      <c r="AQ17" s="23"/>
      <c r="AS17" s="41"/>
      <c r="AU17" s="42"/>
      <c r="AV17" s="60" t="s">
        <v>58</v>
      </c>
      <c r="AW17" s="15"/>
      <c r="AX17" s="72">
        <f>ROUNDDOWN(BD3/2,0)</f>
        <v>2</v>
      </c>
      <c r="AY17" s="55"/>
      <c r="AZ17" s="28"/>
      <c r="BA17" s="28"/>
      <c r="BB17" s="28"/>
      <c r="BC17" s="28"/>
      <c r="BD17" s="28"/>
      <c r="BE17" s="28"/>
      <c r="BF17" s="28"/>
      <c r="BH17" s="45"/>
      <c r="BI17" s="14"/>
      <c r="BJ17" s="14"/>
      <c r="BK17" s="14"/>
      <c r="BL17" s="14"/>
      <c r="BM17" s="15"/>
      <c r="BN17" s="46"/>
      <c r="BO17" s="15"/>
      <c r="BP17" s="46"/>
      <c r="BQ17" s="15"/>
      <c r="BR17" s="46"/>
      <c r="BS17" s="15"/>
    </row>
    <row r="18">
      <c r="B18" s="33" t="s">
        <v>37</v>
      </c>
      <c r="C18" s="14"/>
      <c r="D18" s="15"/>
      <c r="E18" s="19" t="s">
        <v>38</v>
      </c>
      <c r="F18" s="15"/>
      <c r="G18" s="34">
        <v>10.0</v>
      </c>
      <c r="H18" s="33" t="s">
        <v>37</v>
      </c>
      <c r="I18" s="14"/>
      <c r="J18" s="15"/>
      <c r="K18" s="19"/>
      <c r="L18" s="14"/>
      <c r="M18" s="15"/>
      <c r="O18" s="73" t="b">
        <v>0</v>
      </c>
      <c r="P18" s="74"/>
      <c r="Q18" s="15"/>
      <c r="R18" s="75" t="b">
        <v>0</v>
      </c>
      <c r="S18" s="74"/>
      <c r="T18" s="15"/>
      <c r="U18" s="73" t="b">
        <v>0</v>
      </c>
      <c r="V18" s="74"/>
      <c r="W18" s="15"/>
      <c r="Y18" s="76" t="b">
        <v>0</v>
      </c>
      <c r="Z18" s="76" t="b">
        <v>0</v>
      </c>
      <c r="AA18" s="77"/>
      <c r="AB18" s="76" t="b">
        <v>0</v>
      </c>
      <c r="AC18" s="76" t="b">
        <v>0</v>
      </c>
      <c r="AD18" s="77"/>
      <c r="AE18" s="76" t="b">
        <v>0</v>
      </c>
      <c r="AF18" s="76" t="b">
        <v>0</v>
      </c>
      <c r="AG18" s="77"/>
      <c r="AH18" s="76" t="b">
        <v>0</v>
      </c>
      <c r="AI18" s="76" t="b">
        <v>0</v>
      </c>
      <c r="AJ18" s="77"/>
      <c r="AK18" s="76" t="b">
        <v>1</v>
      </c>
      <c r="AL18" s="76" t="b">
        <v>0</v>
      </c>
      <c r="AM18" s="77"/>
      <c r="AO18" s="78"/>
      <c r="AS18" s="21"/>
      <c r="AT18" s="22"/>
      <c r="AU18" s="23"/>
      <c r="AV18" s="60" t="s">
        <v>60</v>
      </c>
      <c r="AW18" s="15"/>
      <c r="AX18" s="72"/>
      <c r="AZ18" s="56" t="s">
        <v>91</v>
      </c>
      <c r="BA18" s="8"/>
      <c r="BB18" s="8"/>
      <c r="BC18" s="8"/>
      <c r="BD18" s="8"/>
      <c r="BE18" s="8"/>
      <c r="BF18" s="9"/>
      <c r="BH18" s="45"/>
      <c r="BI18" s="14"/>
      <c r="BJ18" s="14"/>
      <c r="BK18" s="14"/>
      <c r="BL18" s="14"/>
      <c r="BM18" s="15"/>
      <c r="BN18" s="46"/>
      <c r="BO18" s="15"/>
      <c r="BP18" s="46"/>
      <c r="BQ18" s="15"/>
      <c r="BR18" s="46"/>
      <c r="BS18" s="15"/>
    </row>
    <row r="19">
      <c r="B19" s="37">
        <f>G18+G19+G20</f>
        <v>15</v>
      </c>
      <c r="C19" s="8"/>
      <c r="D19" s="9"/>
      <c r="E19" s="19" t="s">
        <v>92</v>
      </c>
      <c r="F19" s="15"/>
      <c r="G19" s="44">
        <f>X30</f>
        <v>5</v>
      </c>
      <c r="H19" s="79">
        <f>M19+M20+IF(Treinamentos!I7 = TRUE, +2, +0)</f>
        <v>2</v>
      </c>
      <c r="I19" s="8"/>
      <c r="J19" s="9"/>
      <c r="K19" s="19" t="s">
        <v>54</v>
      </c>
      <c r="L19" s="15"/>
      <c r="M19" s="44">
        <f>Des</f>
        <v>2</v>
      </c>
      <c r="O19" s="51" t="s">
        <v>81</v>
      </c>
      <c r="P19" s="14"/>
      <c r="Q19" s="15"/>
      <c r="R19" s="51" t="s">
        <v>81</v>
      </c>
      <c r="S19" s="14"/>
      <c r="T19" s="15"/>
      <c r="U19" s="51" t="s">
        <v>81</v>
      </c>
      <c r="V19" s="14"/>
      <c r="W19" s="15"/>
      <c r="X19" s="29"/>
      <c r="Y19" s="29"/>
      <c r="Z19" s="29"/>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21"/>
      <c r="BA19" s="22"/>
      <c r="BB19" s="22"/>
      <c r="BC19" s="22"/>
      <c r="BD19" s="22"/>
      <c r="BE19" s="22"/>
      <c r="BF19" s="23"/>
      <c r="BH19" s="45"/>
      <c r="BI19" s="14"/>
      <c r="BJ19" s="14"/>
      <c r="BK19" s="14"/>
      <c r="BL19" s="14"/>
      <c r="BM19" s="15"/>
      <c r="BN19" s="46"/>
      <c r="BO19" s="15"/>
      <c r="BP19" s="46"/>
      <c r="BQ19" s="15"/>
      <c r="BR19" s="46"/>
      <c r="BS19" s="15"/>
    </row>
    <row r="20">
      <c r="B20" s="21"/>
      <c r="C20" s="22"/>
      <c r="D20" s="23"/>
      <c r="E20" s="19" t="s">
        <v>60</v>
      </c>
      <c r="F20" s="15"/>
      <c r="G20" s="34"/>
      <c r="H20" s="21"/>
      <c r="I20" s="22"/>
      <c r="J20" s="23"/>
      <c r="K20" s="19" t="s">
        <v>60</v>
      </c>
      <c r="L20" s="15"/>
      <c r="M20" s="34"/>
      <c r="O20" s="80" t="s">
        <v>93</v>
      </c>
      <c r="P20" s="14"/>
      <c r="Q20" s="15"/>
      <c r="R20" s="80" t="s">
        <v>94</v>
      </c>
      <c r="S20" s="14"/>
      <c r="T20" s="15"/>
      <c r="U20" s="81" t="s">
        <v>95</v>
      </c>
      <c r="V20" s="14"/>
      <c r="W20" s="15"/>
      <c r="X20" s="29"/>
      <c r="Y20" s="29"/>
      <c r="Z20" s="29"/>
      <c r="AA20" s="82" t="s">
        <v>96</v>
      </c>
      <c r="AB20" s="8"/>
      <c r="AC20" s="8"/>
      <c r="AD20" s="8"/>
      <c r="AE20" s="8"/>
      <c r="AF20" s="8"/>
      <c r="AG20" s="8"/>
      <c r="AH20" s="8"/>
      <c r="AI20" s="8"/>
      <c r="AJ20" s="8"/>
      <c r="AK20" s="8"/>
      <c r="AL20" s="9"/>
      <c r="AM20" s="29"/>
      <c r="AN20" s="53" t="s">
        <v>97</v>
      </c>
      <c r="AO20" s="14"/>
      <c r="AP20" s="14"/>
      <c r="AQ20" s="14"/>
      <c r="AR20" s="14"/>
      <c r="AS20" s="6"/>
      <c r="AT20" s="83" t="s">
        <v>98</v>
      </c>
      <c r="AU20" s="8"/>
      <c r="AV20" s="8"/>
      <c r="AW20" s="8"/>
      <c r="AX20" s="9"/>
      <c r="AY20" s="29"/>
      <c r="AZ20" s="17" t="s">
        <v>99</v>
      </c>
      <c r="BA20" s="15"/>
      <c r="BB20" s="17" t="s">
        <v>100</v>
      </c>
      <c r="BC20" s="15"/>
      <c r="BD20" s="35" t="s">
        <v>101</v>
      </c>
      <c r="BE20" s="14"/>
      <c r="BF20" s="15"/>
      <c r="BH20" s="45"/>
      <c r="BI20" s="14"/>
      <c r="BJ20" s="14"/>
      <c r="BK20" s="14"/>
      <c r="BL20" s="14"/>
      <c r="BM20" s="15"/>
      <c r="BN20" s="46"/>
      <c r="BO20" s="15"/>
      <c r="BP20" s="46"/>
      <c r="BQ20" s="15"/>
      <c r="BR20" s="46"/>
      <c r="BS20" s="15"/>
    </row>
    <row r="21">
      <c r="B21" s="29"/>
      <c r="O21" s="29"/>
      <c r="P21" s="29"/>
      <c r="Q21" s="29"/>
      <c r="R21" s="29"/>
      <c r="S21" s="29"/>
      <c r="T21" s="29"/>
      <c r="U21" s="29"/>
      <c r="V21" s="29"/>
      <c r="W21" s="29"/>
      <c r="X21" s="29"/>
      <c r="Y21" s="29"/>
      <c r="Z21" s="29"/>
      <c r="AA21" s="84" t="s">
        <v>102</v>
      </c>
      <c r="AB21" s="84" t="s">
        <v>103</v>
      </c>
      <c r="AC21" s="84" t="s">
        <v>104</v>
      </c>
      <c r="AD21" s="84" t="s">
        <v>105</v>
      </c>
      <c r="AE21" s="84" t="s">
        <v>106</v>
      </c>
      <c r="AF21" s="84" t="s">
        <v>107</v>
      </c>
      <c r="AG21" s="84" t="s">
        <v>108</v>
      </c>
      <c r="AH21" s="84" t="s">
        <v>109</v>
      </c>
      <c r="AI21" s="84" t="s">
        <v>110</v>
      </c>
      <c r="AJ21" s="84" t="s">
        <v>111</v>
      </c>
      <c r="AK21" s="84" t="s">
        <v>112</v>
      </c>
      <c r="AL21" s="84" t="s">
        <v>113</v>
      </c>
      <c r="AN21" s="85"/>
      <c r="AO21" s="8"/>
      <c r="AP21" s="8"/>
      <c r="AQ21" s="8"/>
      <c r="AR21" s="9"/>
      <c r="AS21" s="6"/>
      <c r="AT21" s="86" t="s">
        <v>114</v>
      </c>
      <c r="AU21" s="8"/>
      <c r="AV21" s="8"/>
      <c r="AW21" s="8"/>
      <c r="AX21" s="9"/>
      <c r="AZ21" s="17" t="s">
        <v>115</v>
      </c>
      <c r="BA21" s="15"/>
      <c r="BB21" s="46"/>
      <c r="BC21" s="15"/>
      <c r="BD21" s="46"/>
      <c r="BE21" s="14"/>
      <c r="BF21" s="15"/>
      <c r="BH21" s="45"/>
      <c r="BI21" s="14"/>
      <c r="BJ21" s="14"/>
      <c r="BK21" s="14"/>
      <c r="BL21" s="14"/>
      <c r="BM21" s="15"/>
      <c r="BN21" s="46"/>
      <c r="BO21" s="15"/>
      <c r="BP21" s="46"/>
      <c r="BQ21" s="15"/>
      <c r="BR21" s="46"/>
      <c r="BS21" s="15"/>
    </row>
    <row r="22">
      <c r="B22" s="27" t="s">
        <v>116</v>
      </c>
      <c r="C22" s="8"/>
      <c r="D22" s="8"/>
      <c r="E22" s="8"/>
      <c r="F22" s="8"/>
      <c r="G22" s="8"/>
      <c r="H22" s="8"/>
      <c r="I22" s="8"/>
      <c r="J22" s="8"/>
      <c r="K22" s="8"/>
      <c r="L22" s="8"/>
      <c r="M22" s="8"/>
      <c r="N22" s="8"/>
      <c r="O22" s="8"/>
      <c r="P22" s="8"/>
      <c r="Q22" s="8"/>
      <c r="R22" s="8"/>
      <c r="S22" s="8"/>
      <c r="T22" s="8"/>
      <c r="U22" s="8"/>
      <c r="V22" s="8"/>
      <c r="W22" s="8"/>
      <c r="X22" s="8"/>
      <c r="Y22" s="9"/>
      <c r="Z22" s="6"/>
      <c r="AA22" s="87"/>
      <c r="AB22" s="87"/>
      <c r="AC22" s="87"/>
      <c r="AD22" s="87"/>
      <c r="AE22" s="87"/>
      <c r="AF22" s="87"/>
      <c r="AG22" s="87"/>
      <c r="AH22" s="87"/>
      <c r="AI22" s="87"/>
      <c r="AJ22" s="87"/>
      <c r="AK22" s="87"/>
      <c r="AL22" s="87"/>
      <c r="AN22" s="41"/>
      <c r="AR22" s="42"/>
      <c r="AS22" s="6"/>
      <c r="AT22" s="41"/>
      <c r="AX22" s="42"/>
      <c r="AZ22" s="17" t="s">
        <v>117</v>
      </c>
      <c r="BA22" s="15"/>
      <c r="BB22" s="46"/>
      <c r="BC22" s="15"/>
      <c r="BD22" s="46"/>
      <c r="BE22" s="14"/>
      <c r="BF22" s="15"/>
      <c r="BH22" s="45"/>
      <c r="BI22" s="14"/>
      <c r="BJ22" s="14"/>
      <c r="BK22" s="14"/>
      <c r="BL22" s="14"/>
      <c r="BM22" s="15"/>
      <c r="BN22" s="46"/>
      <c r="BO22" s="15"/>
      <c r="BP22" s="46"/>
      <c r="BQ22" s="15"/>
      <c r="BR22" s="46"/>
      <c r="BS22" s="15"/>
    </row>
    <row r="23">
      <c r="B23" s="21"/>
      <c r="C23" s="22"/>
      <c r="D23" s="22"/>
      <c r="E23" s="22"/>
      <c r="F23" s="22"/>
      <c r="G23" s="22"/>
      <c r="H23" s="22"/>
      <c r="I23" s="22"/>
      <c r="J23" s="22"/>
      <c r="K23" s="22"/>
      <c r="L23" s="22"/>
      <c r="M23" s="22"/>
      <c r="N23" s="22"/>
      <c r="O23" s="22"/>
      <c r="P23" s="22"/>
      <c r="Q23" s="22"/>
      <c r="R23" s="22"/>
      <c r="S23" s="22"/>
      <c r="T23" s="22"/>
      <c r="U23" s="22"/>
      <c r="V23" s="22"/>
      <c r="W23" s="22"/>
      <c r="X23" s="22"/>
      <c r="Y23" s="23"/>
      <c r="AA23" s="3"/>
      <c r="AB23" s="3"/>
      <c r="AC23" s="3"/>
      <c r="AD23" s="3"/>
      <c r="AE23" s="3"/>
      <c r="AF23" s="3"/>
      <c r="AG23" s="3"/>
      <c r="AH23" s="3"/>
      <c r="AI23" s="3"/>
      <c r="AJ23" s="3"/>
      <c r="AK23" s="3"/>
      <c r="AL23" s="3"/>
      <c r="AM23" s="29"/>
      <c r="AN23" s="21"/>
      <c r="AO23" s="22"/>
      <c r="AP23" s="22"/>
      <c r="AQ23" s="22"/>
      <c r="AR23" s="23"/>
      <c r="AS23" s="29"/>
      <c r="AT23" s="21"/>
      <c r="AU23" s="22"/>
      <c r="AV23" s="22"/>
      <c r="AW23" s="22"/>
      <c r="AX23" s="23"/>
      <c r="AY23" s="55"/>
      <c r="AZ23" s="17" t="s">
        <v>118</v>
      </c>
      <c r="BA23" s="15"/>
      <c r="BB23" s="46"/>
      <c r="BC23" s="15"/>
      <c r="BD23" s="46"/>
      <c r="BE23" s="14"/>
      <c r="BF23" s="15"/>
      <c r="BH23" s="45"/>
      <c r="BI23" s="14"/>
      <c r="BJ23" s="14"/>
      <c r="BK23" s="14"/>
      <c r="BL23" s="14"/>
      <c r="BM23" s="15"/>
      <c r="BN23" s="46"/>
      <c r="BO23" s="15"/>
      <c r="BP23" s="46"/>
      <c r="BQ23" s="15"/>
      <c r="BR23" s="46"/>
      <c r="BS23" s="15"/>
    </row>
    <row r="24">
      <c r="B24" s="88" t="s">
        <v>119</v>
      </c>
      <c r="C24" s="14"/>
      <c r="D24" s="14"/>
      <c r="E24" s="15"/>
      <c r="F24" s="33" t="s">
        <v>81</v>
      </c>
      <c r="G24" s="15"/>
      <c r="H24" s="33" t="s">
        <v>60</v>
      </c>
      <c r="I24" s="15"/>
      <c r="J24" s="89" t="s">
        <v>88</v>
      </c>
      <c r="K24" s="89" t="s">
        <v>89</v>
      </c>
      <c r="L24" s="33" t="s">
        <v>37</v>
      </c>
      <c r="M24" s="15"/>
      <c r="N24" s="88" t="s">
        <v>119</v>
      </c>
      <c r="O24" s="14"/>
      <c r="P24" s="14"/>
      <c r="Q24" s="15"/>
      <c r="R24" s="33" t="s">
        <v>81</v>
      </c>
      <c r="S24" s="15"/>
      <c r="T24" s="33" t="s">
        <v>60</v>
      </c>
      <c r="U24" s="15"/>
      <c r="V24" s="89" t="s">
        <v>88</v>
      </c>
      <c r="W24" s="89" t="s">
        <v>89</v>
      </c>
      <c r="X24" s="33" t="s">
        <v>37</v>
      </c>
      <c r="Y24" s="15"/>
      <c r="AA24" s="29"/>
      <c r="AZ24" s="28"/>
      <c r="BA24" s="28"/>
      <c r="BB24" s="28"/>
      <c r="BC24" s="28"/>
      <c r="BD24" s="28"/>
      <c r="BE24" s="28"/>
      <c r="BF24" s="28"/>
      <c r="BH24" s="45"/>
      <c r="BI24" s="14"/>
      <c r="BJ24" s="14"/>
      <c r="BK24" s="14"/>
      <c r="BL24" s="14"/>
      <c r="BM24" s="15"/>
      <c r="BN24" s="46"/>
      <c r="BO24" s="15"/>
      <c r="BP24" s="46"/>
      <c r="BQ24" s="15"/>
      <c r="BR24" s="46"/>
      <c r="BS24" s="15"/>
    </row>
    <row r="25">
      <c r="B25" s="90" t="s">
        <v>120</v>
      </c>
      <c r="C25" s="14"/>
      <c r="D25" s="14"/>
      <c r="E25" s="15"/>
      <c r="F25" s="90" t="s">
        <v>93</v>
      </c>
      <c r="G25" s="15"/>
      <c r="H25" s="91"/>
      <c r="I25" s="15"/>
      <c r="J25" s="92" t="b">
        <v>0</v>
      </c>
      <c r="K25" s="92" t="b">
        <v>0</v>
      </c>
      <c r="L25" s="93">
        <f>H25+ROUNDDOWN(BD3/2,0)+ROUNDDOWN(IF(K25,For+BT*1.5,IF(J25,For+BT,For)),0)</f>
        <v>1</v>
      </c>
      <c r="M25" s="15"/>
      <c r="N25" s="90" t="s">
        <v>121</v>
      </c>
      <c r="O25" s="14"/>
      <c r="P25" s="14"/>
      <c r="Q25" s="15"/>
      <c r="R25" s="90" t="s">
        <v>122</v>
      </c>
      <c r="S25" s="15"/>
      <c r="T25" s="91"/>
      <c r="U25" s="15"/>
      <c r="V25" s="92" t="b">
        <v>0</v>
      </c>
      <c r="W25" s="92" t="b">
        <v>0</v>
      </c>
      <c r="X25" s="93">
        <f>T25+ROUNDDOWN(BD3/2,0)+ROUNDDOWN(IF(W25,Int+BT*1.5,IF(V25,Int+BT,Int)),0)</f>
        <v>3</v>
      </c>
      <c r="Y25" s="15"/>
      <c r="AA25" s="17" t="s">
        <v>123</v>
      </c>
      <c r="AB25" s="14"/>
      <c r="AC25" s="14"/>
      <c r="AD25" s="14"/>
      <c r="AE25" s="14"/>
      <c r="AF25" s="14"/>
      <c r="AG25" s="14"/>
      <c r="AH25" s="14"/>
      <c r="AI25" s="14"/>
      <c r="AJ25" s="14"/>
      <c r="AK25" s="14"/>
      <c r="AL25" s="14"/>
      <c r="AM25" s="14"/>
      <c r="AN25" s="14"/>
      <c r="AO25" s="14"/>
      <c r="AP25" s="14"/>
      <c r="AQ25" s="14"/>
      <c r="AR25" s="14"/>
      <c r="AS25" s="14"/>
      <c r="AT25" s="14"/>
      <c r="AU25" s="14"/>
      <c r="AV25" s="14"/>
      <c r="AW25" s="14"/>
      <c r="AX25" s="15"/>
      <c r="AZ25" s="94" t="s">
        <v>124</v>
      </c>
      <c r="BF25" s="42"/>
      <c r="BH25" s="45"/>
      <c r="BI25" s="14"/>
      <c r="BJ25" s="14"/>
      <c r="BK25" s="14"/>
      <c r="BL25" s="14"/>
      <c r="BM25" s="15"/>
      <c r="BN25" s="46"/>
      <c r="BO25" s="15"/>
      <c r="BP25" s="46"/>
      <c r="BQ25" s="15"/>
      <c r="BR25" s="46"/>
      <c r="BS25" s="15"/>
    </row>
    <row r="26">
      <c r="B26" s="90" t="s">
        <v>125</v>
      </c>
      <c r="C26" s="14"/>
      <c r="D26" s="14"/>
      <c r="E26" s="15"/>
      <c r="F26" s="90" t="s">
        <v>94</v>
      </c>
      <c r="G26" s="15"/>
      <c r="H26" s="91"/>
      <c r="I26" s="15"/>
      <c r="J26" s="92" t="b">
        <v>1</v>
      </c>
      <c r="K26" s="92" t="b">
        <v>0</v>
      </c>
      <c r="L26" s="93">
        <f>H26+ROUNDDOWN(BD3/2,0)+ROUNDDOWN(IF(K26,Des+BT*1.5,IF(J26,Des+BT,Des)),0)+IF(Treinamentos!I6 = TRUE, +2, +0)</f>
        <v>7</v>
      </c>
      <c r="M26" s="15"/>
      <c r="N26" s="90" t="s">
        <v>126</v>
      </c>
      <c r="O26" s="14"/>
      <c r="P26" s="14"/>
      <c r="Q26" s="15"/>
      <c r="R26" s="90" t="s">
        <v>127</v>
      </c>
      <c r="S26" s="15"/>
      <c r="T26" s="91"/>
      <c r="U26" s="15"/>
      <c r="V26" s="92" t="b">
        <v>0</v>
      </c>
      <c r="W26" s="92" t="b">
        <v>0</v>
      </c>
      <c r="X26" s="93">
        <f>T26+ROUNDDOWN(BD3/2,0)+ROUNDDOWN(IF(W26,Sab+BT*1.5,IF(V26,Sab+BT,Sab)),0)</f>
        <v>2</v>
      </c>
      <c r="Y26" s="15"/>
      <c r="AA26" s="19" t="s">
        <v>128</v>
      </c>
      <c r="AB26" s="14"/>
      <c r="AC26" s="14"/>
      <c r="AD26" s="14"/>
      <c r="AE26" s="15"/>
      <c r="AF26" s="19" t="s">
        <v>129</v>
      </c>
      <c r="AG26" s="15"/>
      <c r="AH26" s="19" t="s">
        <v>130</v>
      </c>
      <c r="AI26" s="14"/>
      <c r="AJ26" s="14"/>
      <c r="AK26" s="15"/>
      <c r="AL26" s="19" t="s">
        <v>131</v>
      </c>
      <c r="AM26" s="15"/>
      <c r="AN26" s="19" t="s">
        <v>132</v>
      </c>
      <c r="AO26" s="14"/>
      <c r="AP26" s="15"/>
      <c r="AQ26" s="19" t="s">
        <v>133</v>
      </c>
      <c r="AR26" s="14"/>
      <c r="AS26" s="15"/>
      <c r="AT26" s="19" t="s">
        <v>134</v>
      </c>
      <c r="AU26" s="14"/>
      <c r="AV26" s="14"/>
      <c r="AW26" s="14"/>
      <c r="AX26" s="15"/>
      <c r="AZ26" s="21"/>
      <c r="BA26" s="22"/>
      <c r="BB26" s="22"/>
      <c r="BC26" s="22"/>
      <c r="BD26" s="22"/>
      <c r="BE26" s="22"/>
      <c r="BF26" s="23"/>
      <c r="BH26" s="45"/>
      <c r="BI26" s="14"/>
      <c r="BJ26" s="14"/>
      <c r="BK26" s="14"/>
      <c r="BL26" s="14"/>
      <c r="BM26" s="15"/>
      <c r="BN26" s="46"/>
      <c r="BO26" s="15"/>
      <c r="BP26" s="46"/>
      <c r="BQ26" s="15"/>
      <c r="BR26" s="46"/>
      <c r="BS26" s="15"/>
    </row>
    <row r="27">
      <c r="B27" s="90" t="s">
        <v>135</v>
      </c>
      <c r="C27" s="14"/>
      <c r="D27" s="14"/>
      <c r="E27" s="15"/>
      <c r="F27" s="90" t="s">
        <v>94</v>
      </c>
      <c r="G27" s="15"/>
      <c r="H27" s="91"/>
      <c r="I27" s="15"/>
      <c r="J27" s="92" t="b">
        <v>0</v>
      </c>
      <c r="K27" s="92" t="b">
        <v>0</v>
      </c>
      <c r="L27" s="93">
        <f>H27+ROUNDDOWN(BD3/2,0)+ROUNDDOWN(IF(K27,Des+BT*1.5,IF(J27,Des+BT,Des)),0)</f>
        <v>4</v>
      </c>
      <c r="M27" s="15"/>
      <c r="N27" s="90" t="s">
        <v>136</v>
      </c>
      <c r="O27" s="14"/>
      <c r="P27" s="14"/>
      <c r="Q27" s="15"/>
      <c r="R27" s="90" t="s">
        <v>127</v>
      </c>
      <c r="S27" s="15"/>
      <c r="T27" s="91"/>
      <c r="U27" s="15"/>
      <c r="V27" s="92" t="b">
        <v>0</v>
      </c>
      <c r="W27" s="92" t="b">
        <v>0</v>
      </c>
      <c r="X27" s="93">
        <f>T27+ROUNDDOWN(BD3/2,0)+ROUNDDOWN(IF(W27,Sab+BT*1.5,IF(V27,Sab+BT,Sab)),0)</f>
        <v>2</v>
      </c>
      <c r="Y27" s="15"/>
      <c r="AA27" s="95" t="s">
        <v>137</v>
      </c>
      <c r="AB27" s="14"/>
      <c r="AC27" s="14"/>
      <c r="AD27" s="14"/>
      <c r="AE27" s="15"/>
      <c r="AF27" s="96">
        <v>11.0</v>
      </c>
      <c r="AG27" s="15"/>
      <c r="AH27" s="46" t="s">
        <v>138</v>
      </c>
      <c r="AI27" s="14"/>
      <c r="AJ27" s="14"/>
      <c r="AK27" s="15"/>
      <c r="AL27" s="46">
        <v>20.0</v>
      </c>
      <c r="AM27" s="15"/>
      <c r="AN27" s="46" t="s">
        <v>139</v>
      </c>
      <c r="AO27" s="14"/>
      <c r="AP27" s="15"/>
      <c r="AQ27" s="46"/>
      <c r="AR27" s="14"/>
      <c r="AS27" s="15"/>
      <c r="AT27" s="97"/>
      <c r="AU27" s="14"/>
      <c r="AV27" s="14"/>
      <c r="AW27" s="14"/>
      <c r="AX27" s="15"/>
      <c r="AZ27" s="48"/>
      <c r="BA27" s="14"/>
      <c r="BB27" s="14"/>
      <c r="BC27" s="14"/>
      <c r="BD27" s="14"/>
      <c r="BE27" s="14"/>
      <c r="BF27" s="15"/>
      <c r="BH27" s="45"/>
      <c r="BI27" s="14"/>
      <c r="BJ27" s="14"/>
      <c r="BK27" s="14"/>
      <c r="BL27" s="14"/>
      <c r="BM27" s="15"/>
      <c r="BN27" s="46"/>
      <c r="BO27" s="15"/>
      <c r="BP27" s="46"/>
      <c r="BQ27" s="15"/>
      <c r="BR27" s="46"/>
      <c r="BS27" s="15"/>
    </row>
    <row r="28">
      <c r="B28" s="90" t="s">
        <v>140</v>
      </c>
      <c r="C28" s="14"/>
      <c r="D28" s="14"/>
      <c r="E28" s="15"/>
      <c r="F28" s="90" t="s">
        <v>94</v>
      </c>
      <c r="G28" s="15"/>
      <c r="H28" s="91"/>
      <c r="I28" s="15"/>
      <c r="J28" s="92" t="b">
        <v>0</v>
      </c>
      <c r="K28" s="92" t="b">
        <v>0</v>
      </c>
      <c r="L28" s="93">
        <f>H28+ROUNDDOWN(BD3/2,0)+ROUNDDOWN(IF(K28,Des+BT*1.5,IF(J28,Des+BT,Des)),0)</f>
        <v>4</v>
      </c>
      <c r="M28" s="15"/>
      <c r="N28" s="90" t="s">
        <v>141</v>
      </c>
      <c r="O28" s="14"/>
      <c r="P28" s="14"/>
      <c r="Q28" s="15"/>
      <c r="R28" s="90" t="s">
        <v>127</v>
      </c>
      <c r="S28" s="15"/>
      <c r="T28" s="91"/>
      <c r="U28" s="15"/>
      <c r="V28" s="92" t="b">
        <v>0</v>
      </c>
      <c r="W28" s="92" t="b">
        <v>0</v>
      </c>
      <c r="X28" s="93">
        <f>T28+ROUNDDOWN(BD3/2,0)+ROUNDDOWN(IF(W28,Sab+BT*1.5,IF(V28,Sab+BT,Sab)),0)</f>
        <v>2</v>
      </c>
      <c r="Y28" s="15"/>
      <c r="AA28" s="98"/>
      <c r="AB28" s="14"/>
      <c r="AC28" s="14"/>
      <c r="AD28" s="14"/>
      <c r="AE28" s="15"/>
      <c r="AF28" s="99"/>
      <c r="AG28" s="15"/>
      <c r="AH28" s="46"/>
      <c r="AI28" s="14"/>
      <c r="AJ28" s="14"/>
      <c r="AK28" s="15"/>
      <c r="AL28" s="97"/>
      <c r="AM28" s="15"/>
      <c r="AN28" s="97"/>
      <c r="AO28" s="14"/>
      <c r="AP28" s="15"/>
      <c r="AQ28" s="97"/>
      <c r="AR28" s="14"/>
      <c r="AS28" s="15"/>
      <c r="AT28" s="97"/>
      <c r="AU28" s="14"/>
      <c r="AV28" s="14"/>
      <c r="AW28" s="14"/>
      <c r="AX28" s="15"/>
      <c r="AZ28" s="48"/>
      <c r="BA28" s="14"/>
      <c r="BB28" s="14"/>
      <c r="BC28" s="14"/>
      <c r="BD28" s="14"/>
      <c r="BE28" s="14"/>
      <c r="BF28" s="15"/>
      <c r="BH28" s="45"/>
      <c r="BI28" s="14"/>
      <c r="BJ28" s="14"/>
      <c r="BK28" s="14"/>
      <c r="BL28" s="14"/>
      <c r="BM28" s="15"/>
      <c r="BN28" s="46"/>
      <c r="BO28" s="15"/>
      <c r="BP28" s="46"/>
      <c r="BQ28" s="15"/>
      <c r="BR28" s="46"/>
      <c r="BS28" s="15"/>
    </row>
    <row r="29">
      <c r="B29" s="90" t="s">
        <v>142</v>
      </c>
      <c r="C29" s="14"/>
      <c r="D29" s="14"/>
      <c r="E29" s="15"/>
      <c r="F29" s="90" t="s">
        <v>122</v>
      </c>
      <c r="G29" s="15"/>
      <c r="H29" s="91"/>
      <c r="I29" s="15"/>
      <c r="J29" s="92" t="b">
        <v>1</v>
      </c>
      <c r="K29" s="92" t="b">
        <v>0</v>
      </c>
      <c r="L29" s="93">
        <f>H29+ROUNDDOWN(BD3/2,0)+ROUNDDOWN(IF(K29,Int+BT*1.5,IF(J29,Int+BT,Int)),0)+IF(Treinamentos!AA6 = TRUE, +1, +0)+IF(Treinamentos!AA8 = TRUE, +2, +0)</f>
        <v>6</v>
      </c>
      <c r="M29" s="15"/>
      <c r="N29" s="90" t="s">
        <v>143</v>
      </c>
      <c r="O29" s="14"/>
      <c r="P29" s="14"/>
      <c r="Q29" s="15"/>
      <c r="R29" s="90" t="s">
        <v>127</v>
      </c>
      <c r="S29" s="15"/>
      <c r="T29" s="91"/>
      <c r="U29" s="15"/>
      <c r="V29" s="92" t="b">
        <v>0</v>
      </c>
      <c r="W29" s="92" t="b">
        <v>0</v>
      </c>
      <c r="X29" s="93">
        <f>T29+ROUNDDOWN(BD3/2,0)+ROUNDDOWN(IF(W29,Sab+BT*1.5,IF(V29,Sab+BT,Sab)),0)+IF(Treinamentos!AA6 = TRUE, +1, +0)+IF(Treinamentos!AA8 = TRUE, +2, +0)</f>
        <v>2</v>
      </c>
      <c r="Y29" s="15"/>
      <c r="AA29" s="98"/>
      <c r="AB29" s="14"/>
      <c r="AC29" s="14"/>
      <c r="AD29" s="14"/>
      <c r="AE29" s="15"/>
      <c r="AF29" s="99"/>
      <c r="AG29" s="15"/>
      <c r="AH29" s="46"/>
      <c r="AI29" s="14"/>
      <c r="AJ29" s="14"/>
      <c r="AK29" s="15"/>
      <c r="AL29" s="97"/>
      <c r="AM29" s="15"/>
      <c r="AN29" s="97"/>
      <c r="AO29" s="14"/>
      <c r="AP29" s="15"/>
      <c r="AQ29" s="97"/>
      <c r="AR29" s="14"/>
      <c r="AS29" s="15"/>
      <c r="AT29" s="97"/>
      <c r="AU29" s="14"/>
      <c r="AV29" s="14"/>
      <c r="AW29" s="14"/>
      <c r="AX29" s="15"/>
      <c r="AZ29" s="48"/>
      <c r="BA29" s="14"/>
      <c r="BB29" s="14"/>
      <c r="BC29" s="14"/>
      <c r="BD29" s="14"/>
      <c r="BE29" s="14"/>
      <c r="BF29" s="15"/>
      <c r="BH29" s="45"/>
      <c r="BI29" s="14"/>
      <c r="BJ29" s="14"/>
      <c r="BK29" s="14"/>
      <c r="BL29" s="14"/>
      <c r="BM29" s="15"/>
      <c r="BN29" s="46"/>
      <c r="BO29" s="15"/>
      <c r="BP29" s="46"/>
      <c r="BQ29" s="15"/>
      <c r="BR29" s="46"/>
      <c r="BS29" s="15"/>
    </row>
    <row r="30">
      <c r="B30" s="90" t="s">
        <v>144</v>
      </c>
      <c r="C30" s="14"/>
      <c r="D30" s="14"/>
      <c r="E30" s="15"/>
      <c r="F30" s="90" t="s">
        <v>122</v>
      </c>
      <c r="G30" s="15"/>
      <c r="H30" s="91"/>
      <c r="I30" s="15"/>
      <c r="J30" s="92" t="b">
        <v>1</v>
      </c>
      <c r="K30" s="92" t="b">
        <v>1</v>
      </c>
      <c r="L30" s="93">
        <f>H30+ROUNDDOWN(BD3/2,0)+ROUNDDOWN(IF(K30,Int+BT*1.5,IF(J30,Int+BT,Int)),0)</f>
        <v>7</v>
      </c>
      <c r="M30" s="15"/>
      <c r="N30" s="90" t="s">
        <v>145</v>
      </c>
      <c r="O30" s="14"/>
      <c r="P30" s="14"/>
      <c r="Q30" s="15"/>
      <c r="R30" s="90" t="s">
        <v>127</v>
      </c>
      <c r="S30" s="15"/>
      <c r="T30" s="91"/>
      <c r="U30" s="15"/>
      <c r="V30" s="92" t="b">
        <v>1</v>
      </c>
      <c r="W30" s="92" t="b">
        <v>0</v>
      </c>
      <c r="X30" s="93">
        <f>T30+ROUNDDOWN(BD3/2,0)+ROUNDDOWN(IF(W30,Sab+BT*1.5,IF(V30,Sab+BT,Sab)),0)</f>
        <v>5</v>
      </c>
      <c r="Y30" s="15"/>
      <c r="AA30" s="98"/>
      <c r="AB30" s="14"/>
      <c r="AC30" s="14"/>
      <c r="AD30" s="14"/>
      <c r="AE30" s="15"/>
      <c r="AF30" s="99"/>
      <c r="AG30" s="15"/>
      <c r="AH30" s="46"/>
      <c r="AI30" s="14"/>
      <c r="AJ30" s="14"/>
      <c r="AK30" s="15"/>
      <c r="AL30" s="97"/>
      <c r="AM30" s="15"/>
      <c r="AN30" s="97"/>
      <c r="AO30" s="14"/>
      <c r="AP30" s="15"/>
      <c r="AQ30" s="97"/>
      <c r="AR30" s="14"/>
      <c r="AS30" s="15"/>
      <c r="AT30" s="97"/>
      <c r="AU30" s="14"/>
      <c r="AV30" s="14"/>
      <c r="AW30" s="14"/>
      <c r="AX30" s="15"/>
      <c r="AZ30" s="48"/>
      <c r="BA30" s="14"/>
      <c r="BB30" s="14"/>
      <c r="BC30" s="14"/>
      <c r="BD30" s="14"/>
      <c r="BE30" s="14"/>
      <c r="BF30" s="15"/>
      <c r="BH30" s="45"/>
      <c r="BI30" s="14"/>
      <c r="BJ30" s="14"/>
      <c r="BK30" s="14"/>
      <c r="BL30" s="14"/>
      <c r="BM30" s="15"/>
      <c r="BN30" s="46"/>
      <c r="BO30" s="15"/>
      <c r="BP30" s="46"/>
      <c r="BQ30" s="15"/>
      <c r="BR30" s="46"/>
      <c r="BS30" s="15"/>
    </row>
    <row r="31">
      <c r="B31" s="90" t="s">
        <v>146</v>
      </c>
      <c r="C31" s="14"/>
      <c r="D31" s="14"/>
      <c r="E31" s="15"/>
      <c r="F31" s="90" t="s">
        <v>122</v>
      </c>
      <c r="G31" s="15"/>
      <c r="H31" s="91"/>
      <c r="I31" s="15"/>
      <c r="J31" s="92" t="b">
        <v>1</v>
      </c>
      <c r="K31" s="92" t="b">
        <v>0</v>
      </c>
      <c r="L31" s="93">
        <f>H31+ROUNDDOWN(BD3/2,0)+ROUNDDOWN(IF(K31,Int+BT*1.5,IF(J31,Int+BT,Int)),0)</f>
        <v>6</v>
      </c>
      <c r="M31" s="15"/>
      <c r="N31" s="90" t="s">
        <v>147</v>
      </c>
      <c r="O31" s="14"/>
      <c r="P31" s="14"/>
      <c r="Q31" s="15"/>
      <c r="R31" s="90" t="s">
        <v>127</v>
      </c>
      <c r="S31" s="15"/>
      <c r="T31" s="91"/>
      <c r="U31" s="15"/>
      <c r="V31" s="92" t="b">
        <v>0</v>
      </c>
      <c r="W31" s="92" t="b">
        <v>0</v>
      </c>
      <c r="X31" s="93">
        <f>T31+ROUNDDOWN(BD3/2,0)+ROUNDDOWN(IF(W31,Sab+BT*1.5,IF(V31,Sab+BT,Sab)),0)</f>
        <v>2</v>
      </c>
      <c r="Y31" s="15"/>
      <c r="AA31" s="98"/>
      <c r="AB31" s="14"/>
      <c r="AC31" s="14"/>
      <c r="AD31" s="14"/>
      <c r="AE31" s="15"/>
      <c r="AF31" s="99"/>
      <c r="AG31" s="15"/>
      <c r="AH31" s="46"/>
      <c r="AI31" s="14"/>
      <c r="AJ31" s="14"/>
      <c r="AK31" s="15"/>
      <c r="AL31" s="97"/>
      <c r="AM31" s="15"/>
      <c r="AN31" s="97"/>
      <c r="AO31" s="14"/>
      <c r="AP31" s="15"/>
      <c r="AQ31" s="97"/>
      <c r="AR31" s="14"/>
      <c r="AS31" s="15"/>
      <c r="AT31" s="97"/>
      <c r="AU31" s="14"/>
      <c r="AV31" s="14"/>
      <c r="AW31" s="14"/>
      <c r="AX31" s="15"/>
      <c r="AZ31" s="48"/>
      <c r="BA31" s="14"/>
      <c r="BB31" s="14"/>
      <c r="BC31" s="14"/>
      <c r="BD31" s="14"/>
      <c r="BE31" s="14"/>
      <c r="BF31" s="15"/>
      <c r="BH31" s="45"/>
      <c r="BI31" s="14"/>
      <c r="BJ31" s="14"/>
      <c r="BK31" s="14"/>
      <c r="BL31" s="14"/>
      <c r="BM31" s="15"/>
      <c r="BN31" s="46"/>
      <c r="BO31" s="15"/>
      <c r="BP31" s="46"/>
      <c r="BQ31" s="15"/>
      <c r="BR31" s="46"/>
      <c r="BS31" s="15"/>
    </row>
    <row r="32">
      <c r="B32" s="90" t="s">
        <v>148</v>
      </c>
      <c r="C32" s="14"/>
      <c r="D32" s="14"/>
      <c r="E32" s="15"/>
      <c r="F32" s="90" t="s">
        <v>122</v>
      </c>
      <c r="G32" s="15"/>
      <c r="H32" s="91"/>
      <c r="I32" s="15"/>
      <c r="J32" s="92" t="b">
        <v>0</v>
      </c>
      <c r="K32" s="92" t="b">
        <v>0</v>
      </c>
      <c r="L32" s="93">
        <f>H32+ROUNDDOWN(BD3/2,0)+ROUNDDOWN(IF(K32,Int+BT*1.5,IF(J32,Int+BT,Int)),0)</f>
        <v>3</v>
      </c>
      <c r="M32" s="15"/>
      <c r="N32" s="100" t="s">
        <v>149</v>
      </c>
      <c r="O32" s="14"/>
      <c r="P32" s="14"/>
      <c r="Q32" s="15"/>
      <c r="R32" s="90" t="s">
        <v>95</v>
      </c>
      <c r="S32" s="15"/>
      <c r="T32" s="91"/>
      <c r="U32" s="15"/>
      <c r="V32" s="92" t="b">
        <v>0</v>
      </c>
      <c r="W32" s="92" t="b">
        <v>0</v>
      </c>
      <c r="X32" s="93">
        <f>T32+ROUNDDOWN(BD3/2,0)+ROUNDDOWN(IF(W32,Pre+BT*1.5,IF(V32,Pre+BT,Pre)),0)</f>
        <v>6</v>
      </c>
      <c r="Y32" s="15"/>
      <c r="AA32" s="17" t="s">
        <v>150</v>
      </c>
      <c r="AB32" s="14"/>
      <c r="AC32" s="14"/>
      <c r="AD32" s="14"/>
      <c r="AE32" s="14"/>
      <c r="AF32" s="14"/>
      <c r="AG32" s="14"/>
      <c r="AH32" s="14"/>
      <c r="AI32" s="14"/>
      <c r="AJ32" s="14"/>
      <c r="AK32" s="14"/>
      <c r="AL32" s="14"/>
      <c r="AM32" s="14"/>
      <c r="AN32" s="14"/>
      <c r="AO32" s="14"/>
      <c r="AP32" s="14"/>
      <c r="AQ32" s="14"/>
      <c r="AR32" s="14"/>
      <c r="AS32" s="14"/>
      <c r="AT32" s="14"/>
      <c r="AU32" s="14"/>
      <c r="AV32" s="14"/>
      <c r="AW32" s="14"/>
      <c r="AX32" s="15"/>
      <c r="AZ32" s="48"/>
      <c r="BA32" s="14"/>
      <c r="BB32" s="14"/>
      <c r="BC32" s="14"/>
      <c r="BD32" s="14"/>
      <c r="BE32" s="14"/>
      <c r="BF32" s="15"/>
      <c r="BH32" s="45"/>
      <c r="BI32" s="14"/>
      <c r="BJ32" s="14"/>
      <c r="BK32" s="14"/>
      <c r="BL32" s="14"/>
      <c r="BM32" s="15"/>
      <c r="BN32" s="46"/>
      <c r="BO32" s="15"/>
      <c r="BP32" s="46"/>
      <c r="BQ32" s="15"/>
      <c r="BR32" s="46"/>
      <c r="BS32" s="15"/>
    </row>
    <row r="33">
      <c r="B33" s="90" t="s">
        <v>148</v>
      </c>
      <c r="C33" s="14"/>
      <c r="D33" s="14"/>
      <c r="E33" s="15"/>
      <c r="F33" s="90" t="s">
        <v>122</v>
      </c>
      <c r="G33" s="15"/>
      <c r="H33" s="91"/>
      <c r="I33" s="15"/>
      <c r="J33" s="92" t="b">
        <v>0</v>
      </c>
      <c r="K33" s="92" t="b">
        <v>0</v>
      </c>
      <c r="L33" s="93">
        <f>H33+ROUNDDOWN(BD3/2,0)+ROUNDDOWN(IF(K33,Int+BT*1.5,IF(J33,Int+BT,Int)),0)</f>
        <v>3</v>
      </c>
      <c r="M33" s="15"/>
      <c r="N33" s="90" t="s">
        <v>151</v>
      </c>
      <c r="O33" s="14"/>
      <c r="P33" s="14"/>
      <c r="Q33" s="15"/>
      <c r="R33" s="90" t="s">
        <v>95</v>
      </c>
      <c r="S33" s="15"/>
      <c r="T33" s="91"/>
      <c r="U33" s="15"/>
      <c r="V33" s="92" t="b">
        <v>0</v>
      </c>
      <c r="W33" s="92" t="b">
        <v>0</v>
      </c>
      <c r="X33" s="93">
        <f>T33+ROUNDDOWN(BD3/2,0)+ROUNDDOWN(IF(W33,Pre+BT*1.5,IF(V33,Pre+BT,Pre)),0)</f>
        <v>6</v>
      </c>
      <c r="Y33" s="15"/>
      <c r="AA33" s="101"/>
      <c r="AB33" s="8"/>
      <c r="AC33" s="8"/>
      <c r="AD33" s="8"/>
      <c r="AE33" s="8"/>
      <c r="AF33" s="8"/>
      <c r="AG33" s="8"/>
      <c r="AH33" s="8"/>
      <c r="AI33" s="8"/>
      <c r="AJ33" s="8"/>
      <c r="AK33" s="8"/>
      <c r="AL33" s="8"/>
      <c r="AM33" s="8"/>
      <c r="AN33" s="8"/>
      <c r="AO33" s="8"/>
      <c r="AP33" s="8"/>
      <c r="AQ33" s="8"/>
      <c r="AR33" s="8"/>
      <c r="AS33" s="8"/>
      <c r="AT33" s="8"/>
      <c r="AU33" s="8"/>
      <c r="AV33" s="8"/>
      <c r="AW33" s="8"/>
      <c r="AX33" s="9"/>
      <c r="AZ33" s="48"/>
      <c r="BA33" s="14"/>
      <c r="BB33" s="14"/>
      <c r="BC33" s="14"/>
      <c r="BD33" s="14"/>
      <c r="BE33" s="14"/>
      <c r="BF33" s="15"/>
      <c r="BH33" s="45"/>
      <c r="BI33" s="14"/>
      <c r="BJ33" s="14"/>
      <c r="BK33" s="14"/>
      <c r="BL33" s="14"/>
      <c r="BM33" s="15"/>
      <c r="BN33" s="46"/>
      <c r="BO33" s="15"/>
      <c r="BP33" s="46"/>
      <c r="BQ33" s="15"/>
      <c r="BR33" s="46"/>
      <c r="BS33" s="15"/>
    </row>
    <row r="34">
      <c r="B34" s="90" t="s">
        <v>148</v>
      </c>
      <c r="C34" s="14"/>
      <c r="D34" s="14"/>
      <c r="E34" s="15"/>
      <c r="F34" s="90" t="s">
        <v>122</v>
      </c>
      <c r="G34" s="15"/>
      <c r="H34" s="91"/>
      <c r="I34" s="15"/>
      <c r="J34" s="92" t="b">
        <v>0</v>
      </c>
      <c r="K34" s="92" t="b">
        <v>0</v>
      </c>
      <c r="L34" s="93">
        <f>H34+ROUNDDOWN(BD3/2,0)+ROUNDDOWN(IF(K34,Int+BT*1.5,IF(J34,Int+BT,Int)),0)</f>
        <v>3</v>
      </c>
      <c r="M34" s="15"/>
      <c r="N34" s="90" t="s">
        <v>152</v>
      </c>
      <c r="O34" s="14"/>
      <c r="P34" s="14"/>
      <c r="Q34" s="15"/>
      <c r="R34" s="90" t="s">
        <v>95</v>
      </c>
      <c r="S34" s="15"/>
      <c r="T34" s="91"/>
      <c r="U34" s="15"/>
      <c r="V34" s="92" t="b">
        <v>0</v>
      </c>
      <c r="W34" s="92" t="b">
        <v>0</v>
      </c>
      <c r="X34" s="93">
        <f>T34+ROUNDDOWN(BD3/2,0)+ROUNDDOWN(IF(W34,Pre+BT*1.5,IF(V34,Pre+BT,Pre)),0)</f>
        <v>6</v>
      </c>
      <c r="Y34" s="15"/>
      <c r="AA34" s="41"/>
      <c r="AX34" s="42"/>
      <c r="AZ34" s="48"/>
      <c r="BA34" s="14"/>
      <c r="BB34" s="14"/>
      <c r="BC34" s="14"/>
      <c r="BD34" s="14"/>
      <c r="BE34" s="14"/>
      <c r="BF34" s="15"/>
      <c r="BH34" s="45"/>
      <c r="BI34" s="14"/>
      <c r="BJ34" s="14"/>
      <c r="BK34" s="14"/>
      <c r="BL34" s="14"/>
      <c r="BM34" s="15"/>
      <c r="BN34" s="46"/>
      <c r="BO34" s="15"/>
      <c r="BP34" s="46"/>
      <c r="BQ34" s="15"/>
      <c r="BR34" s="46"/>
      <c r="BS34" s="15"/>
    </row>
    <row r="35">
      <c r="B35" s="90" t="s">
        <v>153</v>
      </c>
      <c r="C35" s="14"/>
      <c r="D35" s="14"/>
      <c r="E35" s="15"/>
      <c r="F35" s="90" t="s">
        <v>122</v>
      </c>
      <c r="G35" s="15"/>
      <c r="H35" s="91"/>
      <c r="I35" s="15"/>
      <c r="J35" s="92" t="b">
        <v>0</v>
      </c>
      <c r="K35" s="92" t="b">
        <v>0</v>
      </c>
      <c r="L35" s="93">
        <f>H35+ROUNDDOWN(BD3/2,0)+ROUNDDOWN(IF(K35,Int+BT*1.5,IF(J35,Int+BT,Int)),0)</f>
        <v>3</v>
      </c>
      <c r="M35" s="15"/>
      <c r="N35" s="90" t="s">
        <v>154</v>
      </c>
      <c r="O35" s="14"/>
      <c r="P35" s="14"/>
      <c r="Q35" s="15"/>
      <c r="R35" s="90" t="s">
        <v>95</v>
      </c>
      <c r="S35" s="15"/>
      <c r="T35" s="91"/>
      <c r="U35" s="15"/>
      <c r="V35" s="92" t="b">
        <v>1</v>
      </c>
      <c r="W35" s="92" t="b">
        <v>0</v>
      </c>
      <c r="X35" s="93">
        <f>T35+ROUNDDOWN(BD3/2,0)+ROUNDDOWN(IF(W35,Pre+BT*1.5,IF(V35,Pre+BT,Pre)),0)</f>
        <v>9</v>
      </c>
      <c r="Y35" s="15"/>
      <c r="AA35" s="21"/>
      <c r="AB35" s="22"/>
      <c r="AC35" s="22"/>
      <c r="AD35" s="22"/>
      <c r="AE35" s="22"/>
      <c r="AF35" s="22"/>
      <c r="AG35" s="22"/>
      <c r="AH35" s="22"/>
      <c r="AI35" s="22"/>
      <c r="AJ35" s="22"/>
      <c r="AK35" s="22"/>
      <c r="AL35" s="22"/>
      <c r="AM35" s="22"/>
      <c r="AN35" s="22"/>
      <c r="AO35" s="22"/>
      <c r="AP35" s="22"/>
      <c r="AQ35" s="22"/>
      <c r="AR35" s="22"/>
      <c r="AS35" s="22"/>
      <c r="AT35" s="22"/>
      <c r="AU35" s="22"/>
      <c r="AV35" s="22"/>
      <c r="AW35" s="22"/>
      <c r="AX35" s="23"/>
      <c r="AZ35" s="48"/>
      <c r="BA35" s="14"/>
      <c r="BB35" s="14"/>
      <c r="BC35" s="14"/>
      <c r="BD35" s="14"/>
      <c r="BE35" s="14"/>
      <c r="BF35" s="15"/>
      <c r="BH35" s="45"/>
      <c r="BI35" s="14"/>
      <c r="BJ35" s="14"/>
      <c r="BK35" s="14"/>
      <c r="BL35" s="14"/>
      <c r="BM35" s="15"/>
      <c r="BN35" s="46"/>
      <c r="BO35" s="15"/>
      <c r="BP35" s="46"/>
      <c r="BQ35" s="15"/>
      <c r="BR35" s="46"/>
      <c r="BS35" s="15"/>
    </row>
    <row r="36">
      <c r="A36" s="29"/>
    </row>
  </sheetData>
  <mergeCells count="469">
    <mergeCell ref="BH12:BM12"/>
    <mergeCell ref="BN12:BO12"/>
    <mergeCell ref="BP12:BQ12"/>
    <mergeCell ref="BR12:BS12"/>
    <mergeCell ref="BH13:BM13"/>
    <mergeCell ref="BN13:BO13"/>
    <mergeCell ref="BP13:BQ13"/>
    <mergeCell ref="BR13:BS13"/>
    <mergeCell ref="BH14:BM14"/>
    <mergeCell ref="BN14:BO14"/>
    <mergeCell ref="BP14:BQ14"/>
    <mergeCell ref="BR14:BS14"/>
    <mergeCell ref="BP15:BQ15"/>
    <mergeCell ref="BR15:BS15"/>
    <mergeCell ref="BH15:BM15"/>
    <mergeCell ref="BN15:BO15"/>
    <mergeCell ref="BH16:BM16"/>
    <mergeCell ref="BN16:BO16"/>
    <mergeCell ref="BP16:BQ16"/>
    <mergeCell ref="BR16:BS16"/>
    <mergeCell ref="BH17:BM17"/>
    <mergeCell ref="BN17:BO17"/>
    <mergeCell ref="BP17:BQ17"/>
    <mergeCell ref="BR17:BS17"/>
    <mergeCell ref="BH18:BM18"/>
    <mergeCell ref="BN18:BO18"/>
    <mergeCell ref="BP18:BQ18"/>
    <mergeCell ref="BR18:BS18"/>
    <mergeCell ref="BH19:BM19"/>
    <mergeCell ref="BN19:BO19"/>
    <mergeCell ref="BP19:BQ19"/>
    <mergeCell ref="BR19:BS19"/>
    <mergeCell ref="BD20:BF20"/>
    <mergeCell ref="BH20:BM20"/>
    <mergeCell ref="BN20:BO20"/>
    <mergeCell ref="BP20:BQ20"/>
    <mergeCell ref="BR20:BS20"/>
    <mergeCell ref="BD21:BF21"/>
    <mergeCell ref="BH21:BM21"/>
    <mergeCell ref="BN21:BO21"/>
    <mergeCell ref="BP21:BQ21"/>
    <mergeCell ref="BR21:BS21"/>
    <mergeCell ref="BD22:BF22"/>
    <mergeCell ref="BH22:BM22"/>
    <mergeCell ref="BN22:BO22"/>
    <mergeCell ref="BP22:BQ22"/>
    <mergeCell ref="BH24:BM24"/>
    <mergeCell ref="BN24:BO24"/>
    <mergeCell ref="BP24:BQ24"/>
    <mergeCell ref="BR24:BS24"/>
    <mergeCell ref="BH25:BM25"/>
    <mergeCell ref="BN25:BO25"/>
    <mergeCell ref="BP25:BQ25"/>
    <mergeCell ref="BR25:BS25"/>
    <mergeCell ref="BH26:BM26"/>
    <mergeCell ref="BN26:BO26"/>
    <mergeCell ref="BP26:BQ26"/>
    <mergeCell ref="BR26:BS26"/>
    <mergeCell ref="BH27:BM27"/>
    <mergeCell ref="BN27:BO27"/>
    <mergeCell ref="BP27:BQ27"/>
    <mergeCell ref="BR27:BS27"/>
    <mergeCell ref="BH28:BM28"/>
    <mergeCell ref="BN28:BO28"/>
    <mergeCell ref="BP28:BQ28"/>
    <mergeCell ref="BR28:BS28"/>
    <mergeCell ref="BH29:BM29"/>
    <mergeCell ref="BN29:BO29"/>
    <mergeCell ref="BP29:BQ29"/>
    <mergeCell ref="BR29:BS29"/>
    <mergeCell ref="BH30:BM30"/>
    <mergeCell ref="BN30:BO30"/>
    <mergeCell ref="BP30:BQ30"/>
    <mergeCell ref="BR30:BS30"/>
    <mergeCell ref="BR22:BS22"/>
    <mergeCell ref="BD23:BF23"/>
    <mergeCell ref="BH23:BM23"/>
    <mergeCell ref="BN23:BO23"/>
    <mergeCell ref="BP23:BQ23"/>
    <mergeCell ref="BR23:BS23"/>
    <mergeCell ref="BP34:BQ34"/>
    <mergeCell ref="BR34:BS34"/>
    <mergeCell ref="BH35:BM35"/>
    <mergeCell ref="BN35:BO35"/>
    <mergeCell ref="BP35:BQ35"/>
    <mergeCell ref="BR35:BS35"/>
    <mergeCell ref="BD2:BF2"/>
    <mergeCell ref="BG2:BG4"/>
    <mergeCell ref="BD3:BF4"/>
    <mergeCell ref="BG6:BG35"/>
    <mergeCell ref="BT6:BT35"/>
    <mergeCell ref="BH8:BM8"/>
    <mergeCell ref="BN8:BO8"/>
    <mergeCell ref="BH31:BM31"/>
    <mergeCell ref="BN31:BO31"/>
    <mergeCell ref="BP31:BQ31"/>
    <mergeCell ref="BR31:BS31"/>
    <mergeCell ref="BH32:BM32"/>
    <mergeCell ref="BN32:BO32"/>
    <mergeCell ref="BP32:BQ32"/>
    <mergeCell ref="BR32:BS32"/>
    <mergeCell ref="BH33:BM33"/>
    <mergeCell ref="BN33:BO33"/>
    <mergeCell ref="BP33:BQ33"/>
    <mergeCell ref="BR33:BS33"/>
    <mergeCell ref="BH34:BM34"/>
    <mergeCell ref="BN34:BO34"/>
    <mergeCell ref="AK15:AM16"/>
    <mergeCell ref="AS15:AU18"/>
    <mergeCell ref="AO18:AQ18"/>
    <mergeCell ref="AY13:AY15"/>
    <mergeCell ref="AY17:AY18"/>
    <mergeCell ref="X9:Z9"/>
    <mergeCell ref="X10:Z10"/>
    <mergeCell ref="X13:X18"/>
    <mergeCell ref="AN13:AN18"/>
    <mergeCell ref="Y14:AA14"/>
    <mergeCell ref="AK14:AM14"/>
    <mergeCell ref="AV17:AW17"/>
    <mergeCell ref="AV18:AW18"/>
    <mergeCell ref="AB14:AD14"/>
    <mergeCell ref="AE14:AG14"/>
    <mergeCell ref="AR13:AR18"/>
    <mergeCell ref="AO14:AQ17"/>
    <mergeCell ref="AS14:AU14"/>
    <mergeCell ref="AV14:AW14"/>
    <mergeCell ref="AZ15:BC15"/>
    <mergeCell ref="AZ16:BC16"/>
    <mergeCell ref="X11:Y11"/>
    <mergeCell ref="Z11:AA11"/>
    <mergeCell ref="O12:AY12"/>
    <mergeCell ref="Y13:AM13"/>
    <mergeCell ref="AO13:AQ13"/>
    <mergeCell ref="AS13:AX13"/>
    <mergeCell ref="AZ13:BF14"/>
    <mergeCell ref="AE15:AG16"/>
    <mergeCell ref="AH15:AJ16"/>
    <mergeCell ref="AV15:AW15"/>
    <mergeCell ref="AV16:AW16"/>
    <mergeCell ref="AZ18:BF19"/>
    <mergeCell ref="U14:W14"/>
    <mergeCell ref="AH14:AJ14"/>
    <mergeCell ref="O15:Q16"/>
    <mergeCell ref="R15:T16"/>
    <mergeCell ref="U15:W16"/>
    <mergeCell ref="Y15:AA16"/>
    <mergeCell ref="AB15:AD16"/>
    <mergeCell ref="J12:M12"/>
    <mergeCell ref="B13:C13"/>
    <mergeCell ref="D13:E13"/>
    <mergeCell ref="F13:G13"/>
    <mergeCell ref="H13:I13"/>
    <mergeCell ref="J13:K13"/>
    <mergeCell ref="L13:M13"/>
    <mergeCell ref="B16:M16"/>
    <mergeCell ref="B17:G17"/>
    <mergeCell ref="H17:M17"/>
    <mergeCell ref="B18:D18"/>
    <mergeCell ref="E18:F18"/>
    <mergeCell ref="H18:J18"/>
    <mergeCell ref="K18:M18"/>
    <mergeCell ref="B19:D20"/>
    <mergeCell ref="E19:F19"/>
    <mergeCell ref="E20:F20"/>
    <mergeCell ref="B25:E25"/>
    <mergeCell ref="F25:G25"/>
    <mergeCell ref="B26:E26"/>
    <mergeCell ref="F26:G26"/>
    <mergeCell ref="H26:I26"/>
    <mergeCell ref="L26:M26"/>
    <mergeCell ref="B27:E27"/>
    <mergeCell ref="F27:G27"/>
    <mergeCell ref="H27:I27"/>
    <mergeCell ref="L27:M27"/>
    <mergeCell ref="B28:E28"/>
    <mergeCell ref="F28:G28"/>
    <mergeCell ref="H28:I28"/>
    <mergeCell ref="L28:M28"/>
    <mergeCell ref="B29:E29"/>
    <mergeCell ref="F29:G29"/>
    <mergeCell ref="H29:I29"/>
    <mergeCell ref="L29:M29"/>
    <mergeCell ref="B21:M21"/>
    <mergeCell ref="B24:E24"/>
    <mergeCell ref="F24:G24"/>
    <mergeCell ref="H33:I33"/>
    <mergeCell ref="L33:M33"/>
    <mergeCell ref="B34:E34"/>
    <mergeCell ref="F34:G34"/>
    <mergeCell ref="H34:I34"/>
    <mergeCell ref="L34:M34"/>
    <mergeCell ref="B35:E35"/>
    <mergeCell ref="F35:G35"/>
    <mergeCell ref="H35:I35"/>
    <mergeCell ref="L35:M35"/>
    <mergeCell ref="B2:M3"/>
    <mergeCell ref="C4:L4"/>
    <mergeCell ref="A6:A35"/>
    <mergeCell ref="B6:M7"/>
    <mergeCell ref="N6:N21"/>
    <mergeCell ref="F8:I8"/>
    <mergeCell ref="J8:M8"/>
    <mergeCell ref="B30:E30"/>
    <mergeCell ref="F30:G30"/>
    <mergeCell ref="H30:I30"/>
    <mergeCell ref="L30:M30"/>
    <mergeCell ref="B31:E31"/>
    <mergeCell ref="F31:G31"/>
    <mergeCell ref="H31:I31"/>
    <mergeCell ref="L31:M31"/>
    <mergeCell ref="B32:E32"/>
    <mergeCell ref="F32:G32"/>
    <mergeCell ref="H32:I32"/>
    <mergeCell ref="L32:M32"/>
    <mergeCell ref="B33:E33"/>
    <mergeCell ref="F33:G33"/>
    <mergeCell ref="R24:S24"/>
    <mergeCell ref="T24:U24"/>
    <mergeCell ref="H24:I24"/>
    <mergeCell ref="H25:I25"/>
    <mergeCell ref="L25:M25"/>
    <mergeCell ref="N25:Q25"/>
    <mergeCell ref="R25:S25"/>
    <mergeCell ref="T25:U25"/>
    <mergeCell ref="N24:Q24"/>
    <mergeCell ref="N26:Q26"/>
    <mergeCell ref="R26:S26"/>
    <mergeCell ref="T26:U26"/>
    <mergeCell ref="N28:Q28"/>
    <mergeCell ref="R28:S28"/>
    <mergeCell ref="T28:U28"/>
    <mergeCell ref="X28:Y28"/>
    <mergeCell ref="N29:Q29"/>
    <mergeCell ref="R29:S29"/>
    <mergeCell ref="T29:U29"/>
    <mergeCell ref="X29:Y29"/>
    <mergeCell ref="N30:Q30"/>
    <mergeCell ref="R30:S30"/>
    <mergeCell ref="T30:U30"/>
    <mergeCell ref="X30:Y30"/>
    <mergeCell ref="N31:Q31"/>
    <mergeCell ref="R31:S31"/>
    <mergeCell ref="T31:U31"/>
    <mergeCell ref="X31:Y31"/>
    <mergeCell ref="X26:Y26"/>
    <mergeCell ref="N27:Q27"/>
    <mergeCell ref="R27:S27"/>
    <mergeCell ref="T27:U27"/>
    <mergeCell ref="X27:Y27"/>
    <mergeCell ref="T35:U35"/>
    <mergeCell ref="X35:Y35"/>
    <mergeCell ref="H19:J20"/>
    <mergeCell ref="K19:L19"/>
    <mergeCell ref="K20:L20"/>
    <mergeCell ref="Z22:Z35"/>
    <mergeCell ref="L24:M24"/>
    <mergeCell ref="X24:Y24"/>
    <mergeCell ref="X25:Y25"/>
    <mergeCell ref="N32:Q32"/>
    <mergeCell ref="R32:S32"/>
    <mergeCell ref="T32:U32"/>
    <mergeCell ref="X32:Y32"/>
    <mergeCell ref="N33:Q33"/>
    <mergeCell ref="R33:S33"/>
    <mergeCell ref="T33:U33"/>
    <mergeCell ref="X33:Y33"/>
    <mergeCell ref="N34:Q34"/>
    <mergeCell ref="R34:S34"/>
    <mergeCell ref="T34:U34"/>
    <mergeCell ref="X34:Y34"/>
    <mergeCell ref="N35:Q35"/>
    <mergeCell ref="R35:S35"/>
    <mergeCell ref="BH2:BJ2"/>
    <mergeCell ref="BK2:BT4"/>
    <mergeCell ref="BH3:BJ4"/>
    <mergeCell ref="BH6:BS7"/>
    <mergeCell ref="AP4:AT4"/>
    <mergeCell ref="AU4:BB4"/>
    <mergeCell ref="A1:BT1"/>
    <mergeCell ref="A2:A4"/>
    <mergeCell ref="N2:N4"/>
    <mergeCell ref="S2:AB3"/>
    <mergeCell ref="AC2:AG2"/>
    <mergeCell ref="AP3:AT3"/>
    <mergeCell ref="A5:BT5"/>
    <mergeCell ref="AI7:AK7"/>
    <mergeCell ref="AM7:AO7"/>
    <mergeCell ref="AP7:AR7"/>
    <mergeCell ref="AS7:AU7"/>
    <mergeCell ref="AZ7:BB7"/>
    <mergeCell ref="BC7:BD7"/>
    <mergeCell ref="O2:R3"/>
    <mergeCell ref="O7:Q7"/>
    <mergeCell ref="R7:T7"/>
    <mergeCell ref="U7:W7"/>
    <mergeCell ref="X7:Z7"/>
    <mergeCell ref="AC7:AE7"/>
    <mergeCell ref="AF7:AH7"/>
    <mergeCell ref="AV9:AX9"/>
    <mergeCell ref="AV10:AX10"/>
    <mergeCell ref="AU2:BB2"/>
    <mergeCell ref="BC2:BC4"/>
    <mergeCell ref="AU3:BB3"/>
    <mergeCell ref="AZ8:BB11"/>
    <mergeCell ref="BC8:BD8"/>
    <mergeCell ref="BC9:BD9"/>
    <mergeCell ref="BC10:BD10"/>
    <mergeCell ref="BC11:BD11"/>
    <mergeCell ref="AZ28:BF28"/>
    <mergeCell ref="AZ29:BF29"/>
    <mergeCell ref="AZ30:BF30"/>
    <mergeCell ref="AZ31:BF31"/>
    <mergeCell ref="AZ32:BF32"/>
    <mergeCell ref="AZ33:BF33"/>
    <mergeCell ref="AZ34:BF34"/>
    <mergeCell ref="AZ35:BF35"/>
    <mergeCell ref="AV7:AX8"/>
    <mergeCell ref="AV11:AX11"/>
    <mergeCell ref="AY23:AY35"/>
    <mergeCell ref="AZ23:BA23"/>
    <mergeCell ref="BB23:BC23"/>
    <mergeCell ref="AZ25:BF26"/>
    <mergeCell ref="AZ27:BF27"/>
    <mergeCell ref="BP8:BQ8"/>
    <mergeCell ref="BR8:BS8"/>
    <mergeCell ref="BH9:BM9"/>
    <mergeCell ref="BN9:BO9"/>
    <mergeCell ref="BP9:BQ9"/>
    <mergeCell ref="BR9:BS9"/>
    <mergeCell ref="BH10:BM10"/>
    <mergeCell ref="BN10:BO10"/>
    <mergeCell ref="BP10:BQ10"/>
    <mergeCell ref="BR10:BS10"/>
    <mergeCell ref="BH11:BM11"/>
    <mergeCell ref="BN11:BO11"/>
    <mergeCell ref="BP11:BQ11"/>
    <mergeCell ref="BR11:BS11"/>
    <mergeCell ref="B8:E8"/>
    <mergeCell ref="B9:C9"/>
    <mergeCell ref="D9:E9"/>
    <mergeCell ref="J9:K9"/>
    <mergeCell ref="L9:M9"/>
    <mergeCell ref="B10:C11"/>
    <mergeCell ref="D10:E11"/>
    <mergeCell ref="F10:G11"/>
    <mergeCell ref="H10:I11"/>
    <mergeCell ref="J10:K11"/>
    <mergeCell ref="L10:M11"/>
    <mergeCell ref="B12:E12"/>
    <mergeCell ref="F12:I12"/>
    <mergeCell ref="B14:C15"/>
    <mergeCell ref="D14:E15"/>
    <mergeCell ref="AH2:AO2"/>
    <mergeCell ref="AP2:AT2"/>
    <mergeCell ref="AC3:AG3"/>
    <mergeCell ref="AH3:AO3"/>
    <mergeCell ref="AC4:AG4"/>
    <mergeCell ref="AH4:AO4"/>
    <mergeCell ref="AC6:AK6"/>
    <mergeCell ref="AM6:AX6"/>
    <mergeCell ref="AZ6:BE6"/>
    <mergeCell ref="F9:G9"/>
    <mergeCell ref="H9:I9"/>
    <mergeCell ref="F14:G15"/>
    <mergeCell ref="H14:I15"/>
    <mergeCell ref="J14:K15"/>
    <mergeCell ref="L14:M15"/>
    <mergeCell ref="X8:Z8"/>
    <mergeCell ref="AC8:AE11"/>
    <mergeCell ref="AF8:AH11"/>
    <mergeCell ref="AI8:AK11"/>
    <mergeCell ref="AM8:AO11"/>
    <mergeCell ref="AP8:AR11"/>
    <mergeCell ref="AS8:AU11"/>
    <mergeCell ref="O4:R4"/>
    <mergeCell ref="S4:AB4"/>
    <mergeCell ref="O6:W6"/>
    <mergeCell ref="X6:AA6"/>
    <mergeCell ref="O8:Q11"/>
    <mergeCell ref="R8:T11"/>
    <mergeCell ref="U8:W11"/>
    <mergeCell ref="O13:W13"/>
    <mergeCell ref="O14:Q14"/>
    <mergeCell ref="R14:T14"/>
    <mergeCell ref="AN21:AR23"/>
    <mergeCell ref="AT21:AX23"/>
    <mergeCell ref="AG22:AG23"/>
    <mergeCell ref="AH22:AH23"/>
    <mergeCell ref="AI22:AI23"/>
    <mergeCell ref="AJ22:AJ23"/>
    <mergeCell ref="AK22:AK23"/>
    <mergeCell ref="AL22:AL23"/>
    <mergeCell ref="AA24:AX24"/>
    <mergeCell ref="AA25:AX25"/>
    <mergeCell ref="AF26:AG26"/>
    <mergeCell ref="AH26:AK26"/>
    <mergeCell ref="AL26:AM26"/>
    <mergeCell ref="AN26:AP26"/>
    <mergeCell ref="AQ26:AS26"/>
    <mergeCell ref="AT26:AX26"/>
    <mergeCell ref="AA26:AE26"/>
    <mergeCell ref="AF27:AG27"/>
    <mergeCell ref="AH27:AK27"/>
    <mergeCell ref="AL27:AM27"/>
    <mergeCell ref="AN27:AP27"/>
    <mergeCell ref="AQ27:AS27"/>
    <mergeCell ref="AT27:AX27"/>
    <mergeCell ref="AA29:AE29"/>
    <mergeCell ref="AF29:AG29"/>
    <mergeCell ref="AH29:AK29"/>
    <mergeCell ref="AL29:AM29"/>
    <mergeCell ref="AN29:AP29"/>
    <mergeCell ref="AQ29:AS29"/>
    <mergeCell ref="AT29:AX29"/>
    <mergeCell ref="AA30:AE30"/>
    <mergeCell ref="AF30:AG30"/>
    <mergeCell ref="AH30:AK30"/>
    <mergeCell ref="AL30:AM30"/>
    <mergeCell ref="AN30:AP30"/>
    <mergeCell ref="AQ30:AS30"/>
    <mergeCell ref="AT30:AX30"/>
    <mergeCell ref="AA32:AX32"/>
    <mergeCell ref="AA33:AX35"/>
    <mergeCell ref="A36:BT36"/>
    <mergeCell ref="AA31:AE31"/>
    <mergeCell ref="AF31:AG31"/>
    <mergeCell ref="AH31:AK31"/>
    <mergeCell ref="AL31:AM31"/>
    <mergeCell ref="AN31:AP31"/>
    <mergeCell ref="AQ31:AS31"/>
    <mergeCell ref="AT31:AX31"/>
    <mergeCell ref="R19:T19"/>
    <mergeCell ref="U19:W19"/>
    <mergeCell ref="P17:Q17"/>
    <mergeCell ref="S17:T17"/>
    <mergeCell ref="V17:W17"/>
    <mergeCell ref="P18:Q18"/>
    <mergeCell ref="S18:T18"/>
    <mergeCell ref="V18:W18"/>
    <mergeCell ref="O19:Q19"/>
    <mergeCell ref="AT20:AX20"/>
    <mergeCell ref="AZ20:BA20"/>
    <mergeCell ref="BB20:BC20"/>
    <mergeCell ref="AZ21:BA21"/>
    <mergeCell ref="BB21:BC21"/>
    <mergeCell ref="AZ22:BA22"/>
    <mergeCell ref="BB22:BC22"/>
    <mergeCell ref="O20:Q20"/>
    <mergeCell ref="R20:T20"/>
    <mergeCell ref="U20:W20"/>
    <mergeCell ref="AA20:AL20"/>
    <mergeCell ref="AM20:AM22"/>
    <mergeCell ref="AN20:AR20"/>
    <mergeCell ref="AY20:AY22"/>
    <mergeCell ref="B22:Y23"/>
    <mergeCell ref="AA22:AA23"/>
    <mergeCell ref="AB22:AB23"/>
    <mergeCell ref="AC22:AC23"/>
    <mergeCell ref="AD22:AD23"/>
    <mergeCell ref="AE22:AE23"/>
    <mergeCell ref="AF22:AF23"/>
    <mergeCell ref="AA27:AE27"/>
    <mergeCell ref="AA28:AE28"/>
    <mergeCell ref="AF28:AG28"/>
    <mergeCell ref="AH28:AK28"/>
    <mergeCell ref="AL28:AM28"/>
    <mergeCell ref="AN28:AP28"/>
    <mergeCell ref="AQ28:AS28"/>
    <mergeCell ref="AT28:AX28"/>
  </mergeCells>
  <conditionalFormatting sqref="A36 Z36:BT36">
    <cfRule type="notContainsBlanks" dxfId="0" priority="1">
      <formula>LEN(TRIM(A36))&gt;0</formula>
    </cfRule>
  </conditionalFormatting>
  <conditionalFormatting sqref="A1:A36 B1:M1 N1:N21 O1:BB1 BC1:BC5 BD1:BF1 BG1:BG36 BH1:BJ1 BK1:BS5 BT1:BT36 B4:B5 M4:M5 C5:L5 O5:BB5 BD5:BF5 BH5:BJ5 X7:X21 O12:W12 Y12:AM12 AN12:AN19 AO12:AQ12 AR12:AR19 AS12:AX12 AY12:AY36 B16:M16 AV16:AX16 AO18:AQ19 R19:W21 Y19:Y21 Z19:Z36 AA19:AL19 AM19:AM24 AS19:AS24 AT19:AX19 B21:M21 O21:Q21 AA24:AL24 AN24:AR24 AT24:AX24 B36:Y36 AA36:AX36 AZ36:BF36 BH36:BS36">
    <cfRule type="containsBlanks" dxfId="1" priority="2">
      <formula>LEN(TRIM(A1))=0</formula>
    </cfRule>
  </conditionalFormatting>
  <dataValidations>
    <dataValidation type="list" allowBlank="1" showErrorMessage="1" sqref="O20 R20">
      <formula1>"FOR,DES"</formula1>
    </dataValidation>
    <dataValidation type="list" allowBlank="1" showDropDown="1" showErrorMessage="1" sqref="AX15">
      <formula1>"F,D,C,I,S,P"</formula1>
    </dataValidation>
    <dataValidation type="list" allowBlank="1" showErrorMessage="1" sqref="U20">
      <formula1>"FOR,DES,CON,INT,SAB,PRE"</formula1>
    </dataValidation>
    <dataValidation type="list" allowBlank="1" showDropDown="1" showErrorMessage="1" sqref="AH3">
      <formula1>"Lutador,Especialista em Combate,Especialista em Técnica,Suporte,Controlador,Restringido"</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0" width="3.25"/>
    <col customWidth="1" min="31" max="31" width="9.25"/>
    <col customWidth="1" min="32" max="41" width="3.25"/>
    <col customWidth="1" min="42" max="42" width="9.25"/>
    <col customWidth="1" min="43" max="54" width="3.25"/>
  </cols>
  <sheetData>
    <row r="1">
      <c r="A1" s="29"/>
    </row>
    <row r="2">
      <c r="A2" s="29"/>
      <c r="B2" s="102" t="s">
        <v>155</v>
      </c>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9"/>
      <c r="BB2" s="29"/>
    </row>
    <row r="3">
      <c r="B3" s="21"/>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3"/>
      <c r="BB3" s="29"/>
    </row>
    <row r="4">
      <c r="B4" s="29"/>
      <c r="BB4" s="29"/>
    </row>
    <row r="5">
      <c r="B5" s="26" t="s">
        <v>156</v>
      </c>
      <c r="C5" s="14"/>
      <c r="D5" s="14"/>
      <c r="E5" s="14"/>
      <c r="F5" s="14"/>
      <c r="G5" s="14"/>
      <c r="H5" s="14"/>
      <c r="I5" s="15"/>
      <c r="J5" s="11" t="s">
        <v>7</v>
      </c>
      <c r="K5" s="8"/>
      <c r="L5" s="8"/>
      <c r="M5" s="9"/>
      <c r="N5" s="12" t="str">
        <f>'Ficha Pessoal'!S2</f>
        <v>Oliver Pendragon</v>
      </c>
      <c r="O5" s="8"/>
      <c r="P5" s="8"/>
      <c r="Q5" s="8"/>
      <c r="R5" s="8"/>
      <c r="S5" s="8"/>
      <c r="T5" s="8"/>
      <c r="U5" s="8"/>
      <c r="V5" s="8"/>
      <c r="W5" s="9"/>
      <c r="X5" s="29"/>
      <c r="Y5" s="27" t="s">
        <v>157</v>
      </c>
      <c r="Z5" s="8"/>
      <c r="AA5" s="8"/>
      <c r="AB5" s="8"/>
      <c r="AC5" s="8"/>
      <c r="AD5" s="8"/>
      <c r="AE5" s="8"/>
      <c r="AF5" s="8"/>
      <c r="AG5" s="8"/>
      <c r="AH5" s="8"/>
      <c r="AI5" s="8"/>
      <c r="AJ5" s="8"/>
      <c r="AK5" s="8"/>
      <c r="AL5" s="8"/>
      <c r="AM5" s="8"/>
      <c r="AN5" s="8"/>
      <c r="AO5" s="8"/>
      <c r="AP5" s="8"/>
      <c r="AQ5" s="8"/>
      <c r="AR5" s="8"/>
      <c r="AS5" s="8"/>
      <c r="AT5" s="8"/>
      <c r="AU5" s="8"/>
      <c r="AV5" s="8"/>
      <c r="AW5" s="8"/>
      <c r="AX5" s="8"/>
      <c r="AY5" s="8"/>
      <c r="AZ5" s="8"/>
      <c r="BA5" s="9"/>
      <c r="BB5" s="29"/>
    </row>
    <row r="6">
      <c r="B6" s="103"/>
      <c r="C6" s="8"/>
      <c r="D6" s="8"/>
      <c r="E6" s="8"/>
      <c r="F6" s="8"/>
      <c r="G6" s="8"/>
      <c r="H6" s="8"/>
      <c r="I6" s="9"/>
      <c r="J6" s="21"/>
      <c r="K6" s="22"/>
      <c r="L6" s="22"/>
      <c r="M6" s="23"/>
      <c r="N6" s="21"/>
      <c r="O6" s="22"/>
      <c r="P6" s="22"/>
      <c r="Q6" s="22"/>
      <c r="R6" s="22"/>
      <c r="S6" s="22"/>
      <c r="T6" s="22"/>
      <c r="U6" s="22"/>
      <c r="V6" s="22"/>
      <c r="W6" s="23"/>
      <c r="Y6" s="21"/>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3"/>
      <c r="BB6" s="29"/>
    </row>
    <row r="7">
      <c r="B7" s="41"/>
      <c r="I7" s="42"/>
      <c r="J7" s="26" t="s">
        <v>158</v>
      </c>
      <c r="K7" s="14"/>
      <c r="L7" s="14"/>
      <c r="M7" s="15"/>
      <c r="N7" s="104"/>
      <c r="O7" s="14"/>
      <c r="P7" s="14"/>
      <c r="Q7" s="14"/>
      <c r="R7" s="14"/>
      <c r="S7" s="14"/>
      <c r="T7" s="14"/>
      <c r="U7" s="14"/>
      <c r="V7" s="14"/>
      <c r="W7" s="15"/>
      <c r="Y7" s="26" t="s">
        <v>159</v>
      </c>
      <c r="Z7" s="14"/>
      <c r="AA7" s="14"/>
      <c r="AB7" s="14"/>
      <c r="AC7" s="14"/>
      <c r="AD7" s="14"/>
      <c r="AE7" s="14"/>
      <c r="AF7" s="15"/>
      <c r="AG7" s="58" t="s">
        <v>160</v>
      </c>
      <c r="AH7" s="15"/>
      <c r="AI7" s="58" t="s">
        <v>161</v>
      </c>
      <c r="AJ7" s="15"/>
      <c r="AK7" s="58" t="s">
        <v>162</v>
      </c>
      <c r="AL7" s="15"/>
      <c r="AM7" s="105"/>
      <c r="AN7" s="26" t="s">
        <v>159</v>
      </c>
      <c r="AO7" s="14"/>
      <c r="AP7" s="14"/>
      <c r="AQ7" s="14"/>
      <c r="AR7" s="14"/>
      <c r="AS7" s="14"/>
      <c r="AT7" s="14"/>
      <c r="AU7" s="15"/>
      <c r="AV7" s="58" t="s">
        <v>160</v>
      </c>
      <c r="AW7" s="15"/>
      <c r="AX7" s="58" t="s">
        <v>161</v>
      </c>
      <c r="AY7" s="15"/>
      <c r="AZ7" s="58" t="s">
        <v>162</v>
      </c>
      <c r="BA7" s="15"/>
      <c r="BB7" s="29"/>
    </row>
    <row r="8">
      <c r="B8" s="41"/>
      <c r="I8" s="42"/>
      <c r="J8" s="26" t="s">
        <v>163</v>
      </c>
      <c r="K8" s="14"/>
      <c r="L8" s="14"/>
      <c r="M8" s="15"/>
      <c r="N8" s="104"/>
      <c r="O8" s="14"/>
      <c r="P8" s="14"/>
      <c r="Q8" s="14"/>
      <c r="R8" s="14"/>
      <c r="S8" s="14"/>
      <c r="T8" s="14"/>
      <c r="U8" s="14"/>
      <c r="V8" s="14"/>
      <c r="W8" s="15"/>
      <c r="Y8" s="106" t="s">
        <v>164</v>
      </c>
      <c r="Z8" s="14"/>
      <c r="AA8" s="14"/>
      <c r="AB8" s="14"/>
      <c r="AC8" s="14"/>
      <c r="AD8" s="14"/>
      <c r="AE8" s="14"/>
      <c r="AF8" s="15"/>
      <c r="AG8" s="16"/>
      <c r="AH8" s="15"/>
      <c r="AI8" s="16"/>
      <c r="AJ8" s="15"/>
      <c r="AK8" s="16"/>
      <c r="AL8" s="15"/>
      <c r="AN8" s="106"/>
      <c r="AO8" s="14"/>
      <c r="AP8" s="14"/>
      <c r="AQ8" s="14"/>
      <c r="AR8" s="14"/>
      <c r="AS8" s="14"/>
      <c r="AT8" s="14"/>
      <c r="AU8" s="15"/>
      <c r="AV8" s="16"/>
      <c r="AW8" s="15"/>
      <c r="AX8" s="16"/>
      <c r="AY8" s="15"/>
      <c r="AZ8" s="16"/>
      <c r="BA8" s="15"/>
      <c r="BB8" s="107">
        <f t="shared" ref="BB8:BB32" si="1">SUM(PRODUCT(AG8,AI8),PRODUCT(AV8,AX8))</f>
        <v>0</v>
      </c>
    </row>
    <row r="9">
      <c r="B9" s="41"/>
      <c r="I9" s="42"/>
      <c r="J9" s="26" t="s">
        <v>161</v>
      </c>
      <c r="K9" s="14"/>
      <c r="L9" s="14"/>
      <c r="M9" s="15"/>
      <c r="N9" s="104"/>
      <c r="O9" s="14"/>
      <c r="P9" s="14"/>
      <c r="Q9" s="14"/>
      <c r="R9" s="14"/>
      <c r="S9" s="14"/>
      <c r="T9" s="14"/>
      <c r="U9" s="14"/>
      <c r="V9" s="14"/>
      <c r="W9" s="15"/>
      <c r="Y9" s="106" t="s">
        <v>165</v>
      </c>
      <c r="Z9" s="14"/>
      <c r="AA9" s="14"/>
      <c r="AB9" s="14"/>
      <c r="AC9" s="14"/>
      <c r="AD9" s="14"/>
      <c r="AE9" s="14"/>
      <c r="AF9" s="15"/>
      <c r="AG9" s="16"/>
      <c r="AH9" s="15"/>
      <c r="AI9" s="16"/>
      <c r="AJ9" s="15"/>
      <c r="AK9" s="16"/>
      <c r="AL9" s="15"/>
      <c r="AN9" s="106"/>
      <c r="AO9" s="14"/>
      <c r="AP9" s="14"/>
      <c r="AQ9" s="14"/>
      <c r="AR9" s="14"/>
      <c r="AS9" s="14"/>
      <c r="AT9" s="14"/>
      <c r="AU9" s="15"/>
      <c r="AV9" s="16"/>
      <c r="AW9" s="15"/>
      <c r="AX9" s="16"/>
      <c r="AY9" s="15"/>
      <c r="AZ9" s="16"/>
      <c r="BA9" s="15"/>
      <c r="BB9" s="107">
        <f t="shared" si="1"/>
        <v>0</v>
      </c>
    </row>
    <row r="10">
      <c r="B10" s="41"/>
      <c r="I10" s="42"/>
      <c r="J10" s="26" t="s">
        <v>166</v>
      </c>
      <c r="K10" s="14"/>
      <c r="L10" s="14"/>
      <c r="M10" s="15"/>
      <c r="N10" s="104"/>
      <c r="O10" s="14"/>
      <c r="P10" s="14"/>
      <c r="Q10" s="14"/>
      <c r="R10" s="14"/>
      <c r="S10" s="14"/>
      <c r="T10" s="14"/>
      <c r="U10" s="14"/>
      <c r="V10" s="14"/>
      <c r="W10" s="15"/>
      <c r="Y10" s="106" t="s">
        <v>167</v>
      </c>
      <c r="Z10" s="14"/>
      <c r="AA10" s="14"/>
      <c r="AB10" s="14"/>
      <c r="AC10" s="14"/>
      <c r="AD10" s="14"/>
      <c r="AE10" s="14"/>
      <c r="AF10" s="15"/>
      <c r="AG10" s="16"/>
      <c r="AH10" s="15"/>
      <c r="AI10" s="16"/>
      <c r="AJ10" s="15"/>
      <c r="AK10" s="16"/>
      <c r="AL10" s="15"/>
      <c r="AN10" s="106"/>
      <c r="AO10" s="14"/>
      <c r="AP10" s="14"/>
      <c r="AQ10" s="14"/>
      <c r="AR10" s="14"/>
      <c r="AS10" s="14"/>
      <c r="AT10" s="14"/>
      <c r="AU10" s="15"/>
      <c r="AV10" s="16"/>
      <c r="AW10" s="15"/>
      <c r="AX10" s="16"/>
      <c r="AY10" s="15"/>
      <c r="AZ10" s="16"/>
      <c r="BA10" s="15"/>
      <c r="BB10" s="107">
        <f t="shared" si="1"/>
        <v>0</v>
      </c>
    </row>
    <row r="11">
      <c r="B11" s="41"/>
      <c r="I11" s="42"/>
      <c r="J11" s="26" t="s">
        <v>168</v>
      </c>
      <c r="K11" s="14"/>
      <c r="L11" s="14"/>
      <c r="M11" s="15"/>
      <c r="N11" s="104"/>
      <c r="O11" s="14"/>
      <c r="P11" s="14"/>
      <c r="Q11" s="14"/>
      <c r="R11" s="14"/>
      <c r="S11" s="14"/>
      <c r="T11" s="14"/>
      <c r="U11" s="14"/>
      <c r="V11" s="14"/>
      <c r="W11" s="15"/>
      <c r="Y11" s="106" t="s">
        <v>169</v>
      </c>
      <c r="Z11" s="14"/>
      <c r="AA11" s="14"/>
      <c r="AB11" s="14"/>
      <c r="AC11" s="14"/>
      <c r="AD11" s="14"/>
      <c r="AE11" s="14"/>
      <c r="AF11" s="15"/>
      <c r="AG11" s="16"/>
      <c r="AH11" s="15"/>
      <c r="AI11" s="16"/>
      <c r="AJ11" s="15"/>
      <c r="AK11" s="16"/>
      <c r="AL11" s="15"/>
      <c r="AN11" s="106"/>
      <c r="AO11" s="14"/>
      <c r="AP11" s="14"/>
      <c r="AQ11" s="14"/>
      <c r="AR11" s="14"/>
      <c r="AS11" s="14"/>
      <c r="AT11" s="14"/>
      <c r="AU11" s="15"/>
      <c r="AV11" s="16"/>
      <c r="AW11" s="15"/>
      <c r="AX11" s="16"/>
      <c r="AY11" s="15"/>
      <c r="AZ11" s="16"/>
      <c r="BA11" s="15"/>
      <c r="BB11" s="107">
        <f t="shared" si="1"/>
        <v>0</v>
      </c>
    </row>
    <row r="12">
      <c r="B12" s="41"/>
      <c r="I12" s="42"/>
      <c r="J12" s="26" t="s">
        <v>170</v>
      </c>
      <c r="K12" s="14"/>
      <c r="L12" s="14"/>
      <c r="M12" s="15"/>
      <c r="N12" s="104"/>
      <c r="O12" s="14"/>
      <c r="P12" s="14"/>
      <c r="Q12" s="14"/>
      <c r="R12" s="14"/>
      <c r="S12" s="14"/>
      <c r="T12" s="14"/>
      <c r="U12" s="14"/>
      <c r="V12" s="14"/>
      <c r="W12" s="15"/>
      <c r="Y12" s="106" t="s">
        <v>171</v>
      </c>
      <c r="Z12" s="14"/>
      <c r="AA12" s="14"/>
      <c r="AB12" s="14"/>
      <c r="AC12" s="14"/>
      <c r="AD12" s="14"/>
      <c r="AE12" s="14"/>
      <c r="AF12" s="15"/>
      <c r="AG12" s="16"/>
      <c r="AH12" s="15"/>
      <c r="AI12" s="16"/>
      <c r="AJ12" s="15"/>
      <c r="AK12" s="16"/>
      <c r="AL12" s="15"/>
      <c r="AN12" s="106"/>
      <c r="AO12" s="14"/>
      <c r="AP12" s="14"/>
      <c r="AQ12" s="14"/>
      <c r="AR12" s="14"/>
      <c r="AS12" s="14"/>
      <c r="AT12" s="14"/>
      <c r="AU12" s="15"/>
      <c r="AV12" s="16"/>
      <c r="AW12" s="15"/>
      <c r="AX12" s="16"/>
      <c r="AY12" s="15"/>
      <c r="AZ12" s="16"/>
      <c r="BA12" s="15"/>
      <c r="BB12" s="107">
        <f t="shared" si="1"/>
        <v>0</v>
      </c>
    </row>
    <row r="13">
      <c r="B13" s="41"/>
      <c r="I13" s="42"/>
      <c r="J13" s="26" t="s">
        <v>172</v>
      </c>
      <c r="K13" s="14"/>
      <c r="L13" s="14"/>
      <c r="M13" s="15"/>
      <c r="N13" s="104"/>
      <c r="O13" s="14"/>
      <c r="P13" s="14"/>
      <c r="Q13" s="14"/>
      <c r="R13" s="14"/>
      <c r="S13" s="14"/>
      <c r="T13" s="14"/>
      <c r="U13" s="14"/>
      <c r="V13" s="14"/>
      <c r="W13" s="15"/>
      <c r="Y13" s="106"/>
      <c r="Z13" s="14"/>
      <c r="AA13" s="14"/>
      <c r="AB13" s="14"/>
      <c r="AC13" s="14"/>
      <c r="AD13" s="14"/>
      <c r="AE13" s="14"/>
      <c r="AF13" s="15"/>
      <c r="AG13" s="16"/>
      <c r="AH13" s="15"/>
      <c r="AI13" s="16"/>
      <c r="AJ13" s="15"/>
      <c r="AK13" s="16"/>
      <c r="AL13" s="15"/>
      <c r="AN13" s="106"/>
      <c r="AO13" s="14"/>
      <c r="AP13" s="14"/>
      <c r="AQ13" s="14"/>
      <c r="AR13" s="14"/>
      <c r="AS13" s="14"/>
      <c r="AT13" s="14"/>
      <c r="AU13" s="15"/>
      <c r="AV13" s="16"/>
      <c r="AW13" s="15"/>
      <c r="AX13" s="16"/>
      <c r="AY13" s="15"/>
      <c r="AZ13" s="16"/>
      <c r="BA13" s="15"/>
      <c r="BB13" s="107">
        <f t="shared" si="1"/>
        <v>0</v>
      </c>
    </row>
    <row r="14">
      <c r="B14" s="41"/>
      <c r="I14" s="42"/>
      <c r="J14" s="26" t="s">
        <v>173</v>
      </c>
      <c r="K14" s="14"/>
      <c r="L14" s="14"/>
      <c r="M14" s="15"/>
      <c r="N14" s="104"/>
      <c r="O14" s="14"/>
      <c r="P14" s="14"/>
      <c r="Q14" s="14"/>
      <c r="R14" s="14"/>
      <c r="S14" s="14"/>
      <c r="T14" s="14"/>
      <c r="U14" s="14"/>
      <c r="V14" s="14"/>
      <c r="W14" s="15"/>
      <c r="Y14" s="106"/>
      <c r="Z14" s="14"/>
      <c r="AA14" s="14"/>
      <c r="AB14" s="14"/>
      <c r="AC14" s="14"/>
      <c r="AD14" s="14"/>
      <c r="AE14" s="14"/>
      <c r="AF14" s="15"/>
      <c r="AG14" s="16"/>
      <c r="AH14" s="15"/>
      <c r="AI14" s="16"/>
      <c r="AJ14" s="15"/>
      <c r="AK14" s="16"/>
      <c r="AL14" s="15"/>
      <c r="AN14" s="106"/>
      <c r="AO14" s="14"/>
      <c r="AP14" s="14"/>
      <c r="AQ14" s="14"/>
      <c r="AR14" s="14"/>
      <c r="AS14" s="14"/>
      <c r="AT14" s="14"/>
      <c r="AU14" s="15"/>
      <c r="AV14" s="16"/>
      <c r="AW14" s="15"/>
      <c r="AX14" s="16"/>
      <c r="AY14" s="15"/>
      <c r="AZ14" s="16"/>
      <c r="BA14" s="15"/>
      <c r="BB14" s="107">
        <f t="shared" si="1"/>
        <v>0</v>
      </c>
    </row>
    <row r="15">
      <c r="B15" s="21"/>
      <c r="C15" s="22"/>
      <c r="D15" s="22"/>
      <c r="E15" s="22"/>
      <c r="F15" s="22"/>
      <c r="G15" s="22"/>
      <c r="H15" s="22"/>
      <c r="I15" s="23"/>
      <c r="J15" s="26" t="s">
        <v>174</v>
      </c>
      <c r="K15" s="14"/>
      <c r="L15" s="14"/>
      <c r="M15" s="15"/>
      <c r="N15" s="104"/>
      <c r="O15" s="14"/>
      <c r="P15" s="14"/>
      <c r="Q15" s="14"/>
      <c r="R15" s="14"/>
      <c r="S15" s="14"/>
      <c r="T15" s="14"/>
      <c r="U15" s="14"/>
      <c r="V15" s="14"/>
      <c r="W15" s="15"/>
      <c r="Y15" s="106"/>
      <c r="Z15" s="14"/>
      <c r="AA15" s="14"/>
      <c r="AB15" s="14"/>
      <c r="AC15" s="14"/>
      <c r="AD15" s="14"/>
      <c r="AE15" s="14"/>
      <c r="AF15" s="15"/>
      <c r="AG15" s="16"/>
      <c r="AH15" s="15"/>
      <c r="AI15" s="16"/>
      <c r="AJ15" s="15"/>
      <c r="AK15" s="16"/>
      <c r="AL15" s="15"/>
      <c r="AN15" s="106"/>
      <c r="AO15" s="14"/>
      <c r="AP15" s="14"/>
      <c r="AQ15" s="14"/>
      <c r="AR15" s="14"/>
      <c r="AS15" s="14"/>
      <c r="AT15" s="14"/>
      <c r="AU15" s="15"/>
      <c r="AV15" s="16"/>
      <c r="AW15" s="15"/>
      <c r="AX15" s="16"/>
      <c r="AY15" s="15"/>
      <c r="AZ15" s="16"/>
      <c r="BA15" s="15"/>
      <c r="BB15" s="107">
        <f t="shared" si="1"/>
        <v>0</v>
      </c>
    </row>
    <row r="16">
      <c r="B16" s="26" t="s">
        <v>175</v>
      </c>
      <c r="C16" s="14"/>
      <c r="D16" s="14"/>
      <c r="E16" s="14"/>
      <c r="F16" s="14"/>
      <c r="G16" s="14"/>
      <c r="H16" s="14"/>
      <c r="I16" s="14"/>
      <c r="J16" s="14"/>
      <c r="K16" s="14"/>
      <c r="L16" s="14"/>
      <c r="M16" s="14"/>
      <c r="N16" s="14"/>
      <c r="O16" s="14"/>
      <c r="P16" s="14"/>
      <c r="Q16" s="14"/>
      <c r="R16" s="14"/>
      <c r="S16" s="14"/>
      <c r="T16" s="14"/>
      <c r="U16" s="14"/>
      <c r="V16" s="14"/>
      <c r="W16" s="15"/>
      <c r="Y16" s="106"/>
      <c r="Z16" s="14"/>
      <c r="AA16" s="14"/>
      <c r="AB16" s="14"/>
      <c r="AC16" s="14"/>
      <c r="AD16" s="14"/>
      <c r="AE16" s="14"/>
      <c r="AF16" s="15"/>
      <c r="AG16" s="16"/>
      <c r="AH16" s="15"/>
      <c r="AI16" s="16"/>
      <c r="AJ16" s="15"/>
      <c r="AK16" s="16"/>
      <c r="AL16" s="15"/>
      <c r="AN16" s="106"/>
      <c r="AO16" s="14"/>
      <c r="AP16" s="14"/>
      <c r="AQ16" s="14"/>
      <c r="AR16" s="14"/>
      <c r="AS16" s="14"/>
      <c r="AT16" s="14"/>
      <c r="AU16" s="15"/>
      <c r="AV16" s="16"/>
      <c r="AW16" s="15"/>
      <c r="AX16" s="16"/>
      <c r="AY16" s="15"/>
      <c r="AZ16" s="16"/>
      <c r="BA16" s="15"/>
      <c r="BB16" s="107">
        <f t="shared" si="1"/>
        <v>0</v>
      </c>
    </row>
    <row r="17">
      <c r="B17" s="108"/>
      <c r="C17" s="8"/>
      <c r="D17" s="8"/>
      <c r="E17" s="8"/>
      <c r="F17" s="8"/>
      <c r="G17" s="8"/>
      <c r="H17" s="8"/>
      <c r="I17" s="8"/>
      <c r="J17" s="8"/>
      <c r="K17" s="8"/>
      <c r="L17" s="8"/>
      <c r="M17" s="8"/>
      <c r="N17" s="8"/>
      <c r="O17" s="8"/>
      <c r="P17" s="8"/>
      <c r="Q17" s="8"/>
      <c r="R17" s="8"/>
      <c r="S17" s="8"/>
      <c r="T17" s="8"/>
      <c r="U17" s="8"/>
      <c r="V17" s="8"/>
      <c r="W17" s="9"/>
      <c r="Y17" s="106"/>
      <c r="Z17" s="14"/>
      <c r="AA17" s="14"/>
      <c r="AB17" s="14"/>
      <c r="AC17" s="14"/>
      <c r="AD17" s="14"/>
      <c r="AE17" s="14"/>
      <c r="AF17" s="15"/>
      <c r="AG17" s="16"/>
      <c r="AH17" s="15"/>
      <c r="AI17" s="16"/>
      <c r="AJ17" s="15"/>
      <c r="AK17" s="16"/>
      <c r="AL17" s="15"/>
      <c r="AN17" s="106"/>
      <c r="AO17" s="14"/>
      <c r="AP17" s="14"/>
      <c r="AQ17" s="14"/>
      <c r="AR17" s="14"/>
      <c r="AS17" s="14"/>
      <c r="AT17" s="14"/>
      <c r="AU17" s="15"/>
      <c r="AV17" s="16"/>
      <c r="AW17" s="15"/>
      <c r="AX17" s="16"/>
      <c r="AY17" s="15"/>
      <c r="AZ17" s="16"/>
      <c r="BA17" s="15"/>
      <c r="BB17" s="107">
        <f t="shared" si="1"/>
        <v>0</v>
      </c>
    </row>
    <row r="18">
      <c r="B18" s="41"/>
      <c r="W18" s="42"/>
      <c r="Y18" s="106"/>
      <c r="Z18" s="14"/>
      <c r="AA18" s="14"/>
      <c r="AB18" s="14"/>
      <c r="AC18" s="14"/>
      <c r="AD18" s="14"/>
      <c r="AE18" s="14"/>
      <c r="AF18" s="15"/>
      <c r="AG18" s="16"/>
      <c r="AH18" s="15"/>
      <c r="AI18" s="16"/>
      <c r="AJ18" s="15"/>
      <c r="AK18" s="16"/>
      <c r="AL18" s="15"/>
      <c r="AN18" s="106"/>
      <c r="AO18" s="14"/>
      <c r="AP18" s="14"/>
      <c r="AQ18" s="14"/>
      <c r="AR18" s="14"/>
      <c r="AS18" s="14"/>
      <c r="AT18" s="14"/>
      <c r="AU18" s="15"/>
      <c r="AV18" s="16"/>
      <c r="AW18" s="15"/>
      <c r="AX18" s="16"/>
      <c r="AY18" s="15"/>
      <c r="AZ18" s="16"/>
      <c r="BA18" s="15"/>
      <c r="BB18" s="107">
        <f t="shared" si="1"/>
        <v>0</v>
      </c>
    </row>
    <row r="19">
      <c r="B19" s="21"/>
      <c r="C19" s="22"/>
      <c r="D19" s="22"/>
      <c r="E19" s="22"/>
      <c r="F19" s="22"/>
      <c r="G19" s="22"/>
      <c r="H19" s="22"/>
      <c r="I19" s="22"/>
      <c r="J19" s="22"/>
      <c r="K19" s="22"/>
      <c r="L19" s="22"/>
      <c r="M19" s="22"/>
      <c r="N19" s="22"/>
      <c r="O19" s="22"/>
      <c r="P19" s="22"/>
      <c r="Q19" s="22"/>
      <c r="R19" s="22"/>
      <c r="S19" s="22"/>
      <c r="T19" s="22"/>
      <c r="U19" s="22"/>
      <c r="V19" s="22"/>
      <c r="W19" s="23"/>
      <c r="Y19" s="106"/>
      <c r="Z19" s="14"/>
      <c r="AA19" s="14"/>
      <c r="AB19" s="14"/>
      <c r="AC19" s="14"/>
      <c r="AD19" s="14"/>
      <c r="AE19" s="14"/>
      <c r="AF19" s="15"/>
      <c r="AG19" s="16"/>
      <c r="AH19" s="15"/>
      <c r="AI19" s="16"/>
      <c r="AJ19" s="15"/>
      <c r="AK19" s="16"/>
      <c r="AL19" s="15"/>
      <c r="AN19" s="106"/>
      <c r="AO19" s="14"/>
      <c r="AP19" s="14"/>
      <c r="AQ19" s="14"/>
      <c r="AR19" s="14"/>
      <c r="AS19" s="14"/>
      <c r="AT19" s="14"/>
      <c r="AU19" s="15"/>
      <c r="AV19" s="16"/>
      <c r="AW19" s="15"/>
      <c r="AX19" s="16"/>
      <c r="AY19" s="15"/>
      <c r="AZ19" s="16"/>
      <c r="BA19" s="15"/>
      <c r="BB19" s="107">
        <f t="shared" si="1"/>
        <v>0</v>
      </c>
    </row>
    <row r="20">
      <c r="B20" s="26" t="s">
        <v>176</v>
      </c>
      <c r="C20" s="14"/>
      <c r="D20" s="14"/>
      <c r="E20" s="14"/>
      <c r="F20" s="14"/>
      <c r="G20" s="14"/>
      <c r="H20" s="14"/>
      <c r="I20" s="14"/>
      <c r="J20" s="14"/>
      <c r="K20" s="14"/>
      <c r="L20" s="14"/>
      <c r="M20" s="14"/>
      <c r="N20" s="14"/>
      <c r="O20" s="14"/>
      <c r="P20" s="14"/>
      <c r="Q20" s="14"/>
      <c r="R20" s="14"/>
      <c r="S20" s="14"/>
      <c r="T20" s="14"/>
      <c r="U20" s="14"/>
      <c r="V20" s="14"/>
      <c r="W20" s="15"/>
      <c r="Y20" s="106"/>
      <c r="Z20" s="14"/>
      <c r="AA20" s="14"/>
      <c r="AB20" s="14"/>
      <c r="AC20" s="14"/>
      <c r="AD20" s="14"/>
      <c r="AE20" s="14"/>
      <c r="AF20" s="15"/>
      <c r="AG20" s="16"/>
      <c r="AH20" s="15"/>
      <c r="AI20" s="16"/>
      <c r="AJ20" s="15"/>
      <c r="AK20" s="16"/>
      <c r="AL20" s="15"/>
      <c r="AN20" s="106"/>
      <c r="AO20" s="14"/>
      <c r="AP20" s="14"/>
      <c r="AQ20" s="14"/>
      <c r="AR20" s="14"/>
      <c r="AS20" s="14"/>
      <c r="AT20" s="14"/>
      <c r="AU20" s="15"/>
      <c r="AV20" s="16"/>
      <c r="AW20" s="15"/>
      <c r="AX20" s="16"/>
      <c r="AY20" s="15"/>
      <c r="AZ20" s="16"/>
      <c r="BA20" s="15"/>
      <c r="BB20" s="107">
        <f t="shared" si="1"/>
        <v>0</v>
      </c>
    </row>
    <row r="21">
      <c r="B21" s="108"/>
      <c r="C21" s="8"/>
      <c r="D21" s="8"/>
      <c r="E21" s="8"/>
      <c r="F21" s="8"/>
      <c r="G21" s="8"/>
      <c r="H21" s="8"/>
      <c r="I21" s="8"/>
      <c r="J21" s="8"/>
      <c r="K21" s="8"/>
      <c r="L21" s="8"/>
      <c r="M21" s="8"/>
      <c r="N21" s="8"/>
      <c r="O21" s="8"/>
      <c r="P21" s="8"/>
      <c r="Q21" s="8"/>
      <c r="R21" s="8"/>
      <c r="S21" s="8"/>
      <c r="T21" s="8"/>
      <c r="U21" s="8"/>
      <c r="V21" s="8"/>
      <c r="W21" s="9"/>
      <c r="Y21" s="106"/>
      <c r="Z21" s="14"/>
      <c r="AA21" s="14"/>
      <c r="AB21" s="14"/>
      <c r="AC21" s="14"/>
      <c r="AD21" s="14"/>
      <c r="AE21" s="14"/>
      <c r="AF21" s="15"/>
      <c r="AG21" s="16"/>
      <c r="AH21" s="15"/>
      <c r="AI21" s="16"/>
      <c r="AJ21" s="15"/>
      <c r="AK21" s="16"/>
      <c r="AL21" s="15"/>
      <c r="AN21" s="106"/>
      <c r="AO21" s="14"/>
      <c r="AP21" s="14"/>
      <c r="AQ21" s="14"/>
      <c r="AR21" s="14"/>
      <c r="AS21" s="14"/>
      <c r="AT21" s="14"/>
      <c r="AU21" s="15"/>
      <c r="AV21" s="16"/>
      <c r="AW21" s="15"/>
      <c r="AX21" s="16"/>
      <c r="AY21" s="15"/>
      <c r="AZ21" s="16"/>
      <c r="BA21" s="15"/>
      <c r="BB21" s="107">
        <f t="shared" si="1"/>
        <v>0</v>
      </c>
    </row>
    <row r="22">
      <c r="B22" s="41"/>
      <c r="W22" s="42"/>
      <c r="Y22" s="106"/>
      <c r="Z22" s="14"/>
      <c r="AA22" s="14"/>
      <c r="AB22" s="14"/>
      <c r="AC22" s="14"/>
      <c r="AD22" s="14"/>
      <c r="AE22" s="14"/>
      <c r="AF22" s="15"/>
      <c r="AG22" s="16"/>
      <c r="AH22" s="15"/>
      <c r="AI22" s="16"/>
      <c r="AJ22" s="15"/>
      <c r="AK22" s="16"/>
      <c r="AL22" s="15"/>
      <c r="AN22" s="106"/>
      <c r="AO22" s="14"/>
      <c r="AP22" s="14"/>
      <c r="AQ22" s="14"/>
      <c r="AR22" s="14"/>
      <c r="AS22" s="14"/>
      <c r="AT22" s="14"/>
      <c r="AU22" s="15"/>
      <c r="AV22" s="16"/>
      <c r="AW22" s="15"/>
      <c r="AX22" s="16"/>
      <c r="AY22" s="15"/>
      <c r="AZ22" s="16"/>
      <c r="BA22" s="15"/>
      <c r="BB22" s="107">
        <f t="shared" si="1"/>
        <v>0</v>
      </c>
    </row>
    <row r="23">
      <c r="B23" s="21"/>
      <c r="C23" s="22"/>
      <c r="D23" s="22"/>
      <c r="E23" s="22"/>
      <c r="F23" s="22"/>
      <c r="G23" s="22"/>
      <c r="H23" s="22"/>
      <c r="I23" s="22"/>
      <c r="J23" s="22"/>
      <c r="K23" s="22"/>
      <c r="L23" s="22"/>
      <c r="M23" s="22"/>
      <c r="N23" s="22"/>
      <c r="O23" s="22"/>
      <c r="P23" s="22"/>
      <c r="Q23" s="22"/>
      <c r="R23" s="22"/>
      <c r="S23" s="22"/>
      <c r="T23" s="22"/>
      <c r="U23" s="22"/>
      <c r="V23" s="22"/>
      <c r="W23" s="23"/>
      <c r="Y23" s="106"/>
      <c r="Z23" s="14"/>
      <c r="AA23" s="14"/>
      <c r="AB23" s="14"/>
      <c r="AC23" s="14"/>
      <c r="AD23" s="14"/>
      <c r="AE23" s="14"/>
      <c r="AF23" s="15"/>
      <c r="AG23" s="16"/>
      <c r="AH23" s="15"/>
      <c r="AI23" s="16"/>
      <c r="AJ23" s="15"/>
      <c r="AK23" s="16"/>
      <c r="AL23" s="15"/>
      <c r="AN23" s="106"/>
      <c r="AO23" s="14"/>
      <c r="AP23" s="14"/>
      <c r="AQ23" s="14"/>
      <c r="AR23" s="14"/>
      <c r="AS23" s="14"/>
      <c r="AT23" s="14"/>
      <c r="AU23" s="15"/>
      <c r="AV23" s="16"/>
      <c r="AW23" s="15"/>
      <c r="AX23" s="16"/>
      <c r="AY23" s="15"/>
      <c r="AZ23" s="16"/>
      <c r="BA23" s="15"/>
      <c r="BB23" s="107">
        <f t="shared" si="1"/>
        <v>0</v>
      </c>
    </row>
    <row r="24">
      <c r="B24" s="26" t="s">
        <v>177</v>
      </c>
      <c r="C24" s="14"/>
      <c r="D24" s="14"/>
      <c r="E24" s="14"/>
      <c r="F24" s="14"/>
      <c r="G24" s="14"/>
      <c r="H24" s="14"/>
      <c r="I24" s="14"/>
      <c r="J24" s="14"/>
      <c r="K24" s="14"/>
      <c r="L24" s="14"/>
      <c r="M24" s="14"/>
      <c r="N24" s="14"/>
      <c r="O24" s="14"/>
      <c r="P24" s="14"/>
      <c r="Q24" s="14"/>
      <c r="R24" s="14"/>
      <c r="S24" s="14"/>
      <c r="T24" s="14"/>
      <c r="U24" s="14"/>
      <c r="V24" s="14"/>
      <c r="W24" s="15"/>
      <c r="Y24" s="106"/>
      <c r="Z24" s="14"/>
      <c r="AA24" s="14"/>
      <c r="AB24" s="14"/>
      <c r="AC24" s="14"/>
      <c r="AD24" s="14"/>
      <c r="AE24" s="14"/>
      <c r="AF24" s="15"/>
      <c r="AG24" s="16"/>
      <c r="AH24" s="15"/>
      <c r="AI24" s="16"/>
      <c r="AJ24" s="15"/>
      <c r="AK24" s="16"/>
      <c r="AL24" s="15"/>
      <c r="AN24" s="106"/>
      <c r="AO24" s="14"/>
      <c r="AP24" s="14"/>
      <c r="AQ24" s="14"/>
      <c r="AR24" s="14"/>
      <c r="AS24" s="14"/>
      <c r="AT24" s="14"/>
      <c r="AU24" s="15"/>
      <c r="AV24" s="16"/>
      <c r="AW24" s="15"/>
      <c r="AX24" s="16"/>
      <c r="AY24" s="15"/>
      <c r="AZ24" s="16"/>
      <c r="BA24" s="15"/>
      <c r="BB24" s="107">
        <f t="shared" si="1"/>
        <v>0</v>
      </c>
    </row>
    <row r="25">
      <c r="B25" s="108"/>
      <c r="C25" s="8"/>
      <c r="D25" s="8"/>
      <c r="E25" s="8"/>
      <c r="F25" s="8"/>
      <c r="G25" s="8"/>
      <c r="H25" s="8"/>
      <c r="I25" s="8"/>
      <c r="J25" s="8"/>
      <c r="K25" s="8"/>
      <c r="L25" s="8"/>
      <c r="M25" s="8"/>
      <c r="N25" s="8"/>
      <c r="O25" s="8"/>
      <c r="P25" s="8"/>
      <c r="Q25" s="8"/>
      <c r="R25" s="8"/>
      <c r="S25" s="8"/>
      <c r="T25" s="8"/>
      <c r="U25" s="8"/>
      <c r="V25" s="8"/>
      <c r="W25" s="9"/>
      <c r="Y25" s="106"/>
      <c r="Z25" s="14"/>
      <c r="AA25" s="14"/>
      <c r="AB25" s="14"/>
      <c r="AC25" s="14"/>
      <c r="AD25" s="14"/>
      <c r="AE25" s="14"/>
      <c r="AF25" s="15"/>
      <c r="AG25" s="16"/>
      <c r="AH25" s="15"/>
      <c r="AI25" s="16"/>
      <c r="AJ25" s="15"/>
      <c r="AK25" s="16"/>
      <c r="AL25" s="15"/>
      <c r="AN25" s="106"/>
      <c r="AO25" s="14"/>
      <c r="AP25" s="14"/>
      <c r="AQ25" s="14"/>
      <c r="AR25" s="14"/>
      <c r="AS25" s="14"/>
      <c r="AT25" s="14"/>
      <c r="AU25" s="15"/>
      <c r="AV25" s="16"/>
      <c r="AW25" s="15"/>
      <c r="AX25" s="16"/>
      <c r="AY25" s="15"/>
      <c r="AZ25" s="16"/>
      <c r="BA25" s="15"/>
      <c r="BB25" s="107">
        <f t="shared" si="1"/>
        <v>0</v>
      </c>
    </row>
    <row r="26">
      <c r="B26" s="41"/>
      <c r="W26" s="42"/>
      <c r="Y26" s="106"/>
      <c r="Z26" s="14"/>
      <c r="AA26" s="14"/>
      <c r="AB26" s="14"/>
      <c r="AC26" s="14"/>
      <c r="AD26" s="14"/>
      <c r="AE26" s="14"/>
      <c r="AF26" s="15"/>
      <c r="AG26" s="16"/>
      <c r="AH26" s="15"/>
      <c r="AI26" s="16"/>
      <c r="AJ26" s="15"/>
      <c r="AK26" s="16"/>
      <c r="AL26" s="15"/>
      <c r="AN26" s="106"/>
      <c r="AO26" s="14"/>
      <c r="AP26" s="14"/>
      <c r="AQ26" s="14"/>
      <c r="AR26" s="14"/>
      <c r="AS26" s="14"/>
      <c r="AT26" s="14"/>
      <c r="AU26" s="15"/>
      <c r="AV26" s="16"/>
      <c r="AW26" s="15"/>
      <c r="AX26" s="16"/>
      <c r="AY26" s="15"/>
      <c r="AZ26" s="16"/>
      <c r="BA26" s="15"/>
      <c r="BB26" s="107">
        <f t="shared" si="1"/>
        <v>0</v>
      </c>
    </row>
    <row r="27">
      <c r="B27" s="21"/>
      <c r="C27" s="22"/>
      <c r="D27" s="22"/>
      <c r="E27" s="22"/>
      <c r="F27" s="22"/>
      <c r="G27" s="22"/>
      <c r="H27" s="22"/>
      <c r="I27" s="22"/>
      <c r="J27" s="22"/>
      <c r="K27" s="22"/>
      <c r="L27" s="22"/>
      <c r="M27" s="22"/>
      <c r="N27" s="22"/>
      <c r="O27" s="22"/>
      <c r="P27" s="22"/>
      <c r="Q27" s="22"/>
      <c r="R27" s="22"/>
      <c r="S27" s="22"/>
      <c r="T27" s="22"/>
      <c r="U27" s="22"/>
      <c r="V27" s="22"/>
      <c r="W27" s="23"/>
      <c r="Y27" s="106"/>
      <c r="Z27" s="14"/>
      <c r="AA27" s="14"/>
      <c r="AB27" s="14"/>
      <c r="AC27" s="14"/>
      <c r="AD27" s="14"/>
      <c r="AE27" s="14"/>
      <c r="AF27" s="15"/>
      <c r="AG27" s="16"/>
      <c r="AH27" s="15"/>
      <c r="AI27" s="16"/>
      <c r="AJ27" s="15"/>
      <c r="AK27" s="16"/>
      <c r="AL27" s="15"/>
      <c r="AN27" s="106"/>
      <c r="AO27" s="14"/>
      <c r="AP27" s="14"/>
      <c r="AQ27" s="14"/>
      <c r="AR27" s="14"/>
      <c r="AS27" s="14"/>
      <c r="AT27" s="14"/>
      <c r="AU27" s="15"/>
      <c r="AV27" s="16"/>
      <c r="AW27" s="15"/>
      <c r="AX27" s="16"/>
      <c r="AY27" s="15"/>
      <c r="AZ27" s="16"/>
      <c r="BA27" s="15"/>
      <c r="BB27" s="107">
        <f t="shared" si="1"/>
        <v>0</v>
      </c>
    </row>
    <row r="28">
      <c r="B28" s="26" t="s">
        <v>178</v>
      </c>
      <c r="C28" s="14"/>
      <c r="D28" s="14"/>
      <c r="E28" s="14"/>
      <c r="F28" s="14"/>
      <c r="G28" s="14"/>
      <c r="H28" s="14"/>
      <c r="I28" s="14"/>
      <c r="J28" s="14"/>
      <c r="K28" s="14"/>
      <c r="L28" s="14"/>
      <c r="M28" s="14"/>
      <c r="N28" s="14"/>
      <c r="O28" s="14"/>
      <c r="P28" s="14"/>
      <c r="Q28" s="14"/>
      <c r="R28" s="14"/>
      <c r="S28" s="14"/>
      <c r="T28" s="14"/>
      <c r="U28" s="14"/>
      <c r="V28" s="14"/>
      <c r="W28" s="15"/>
      <c r="Y28" s="106"/>
      <c r="Z28" s="14"/>
      <c r="AA28" s="14"/>
      <c r="AB28" s="14"/>
      <c r="AC28" s="14"/>
      <c r="AD28" s="14"/>
      <c r="AE28" s="14"/>
      <c r="AF28" s="15"/>
      <c r="AG28" s="16"/>
      <c r="AH28" s="15"/>
      <c r="AI28" s="16"/>
      <c r="AJ28" s="15"/>
      <c r="AK28" s="16"/>
      <c r="AL28" s="15"/>
      <c r="AN28" s="106"/>
      <c r="AO28" s="14"/>
      <c r="AP28" s="14"/>
      <c r="AQ28" s="14"/>
      <c r="AR28" s="14"/>
      <c r="AS28" s="14"/>
      <c r="AT28" s="14"/>
      <c r="AU28" s="15"/>
      <c r="AV28" s="16"/>
      <c r="AW28" s="15"/>
      <c r="AX28" s="16"/>
      <c r="AY28" s="15"/>
      <c r="AZ28" s="16"/>
      <c r="BA28" s="15"/>
      <c r="BB28" s="107">
        <f t="shared" si="1"/>
        <v>0</v>
      </c>
    </row>
    <row r="29">
      <c r="B29" s="108"/>
      <c r="C29" s="8"/>
      <c r="D29" s="8"/>
      <c r="E29" s="8"/>
      <c r="F29" s="8"/>
      <c r="G29" s="8"/>
      <c r="H29" s="8"/>
      <c r="I29" s="8"/>
      <c r="J29" s="8"/>
      <c r="K29" s="8"/>
      <c r="L29" s="8"/>
      <c r="M29" s="8"/>
      <c r="N29" s="8"/>
      <c r="O29" s="8"/>
      <c r="P29" s="8"/>
      <c r="Q29" s="8"/>
      <c r="R29" s="8"/>
      <c r="S29" s="8"/>
      <c r="T29" s="8"/>
      <c r="U29" s="8"/>
      <c r="V29" s="8"/>
      <c r="W29" s="9"/>
      <c r="Y29" s="106"/>
      <c r="Z29" s="14"/>
      <c r="AA29" s="14"/>
      <c r="AB29" s="14"/>
      <c r="AC29" s="14"/>
      <c r="AD29" s="14"/>
      <c r="AE29" s="14"/>
      <c r="AF29" s="15"/>
      <c r="AG29" s="16"/>
      <c r="AH29" s="15"/>
      <c r="AI29" s="16"/>
      <c r="AJ29" s="15"/>
      <c r="AK29" s="16"/>
      <c r="AL29" s="15"/>
      <c r="AN29" s="106"/>
      <c r="AO29" s="14"/>
      <c r="AP29" s="14"/>
      <c r="AQ29" s="14"/>
      <c r="AR29" s="14"/>
      <c r="AS29" s="14"/>
      <c r="AT29" s="14"/>
      <c r="AU29" s="15"/>
      <c r="AV29" s="16"/>
      <c r="AW29" s="15"/>
      <c r="AX29" s="16"/>
      <c r="AY29" s="15"/>
      <c r="AZ29" s="16"/>
      <c r="BA29" s="15"/>
      <c r="BB29" s="107">
        <f t="shared" si="1"/>
        <v>0</v>
      </c>
    </row>
    <row r="30">
      <c r="B30" s="41"/>
      <c r="W30" s="42"/>
      <c r="Y30" s="106"/>
      <c r="Z30" s="14"/>
      <c r="AA30" s="14"/>
      <c r="AB30" s="14"/>
      <c r="AC30" s="14"/>
      <c r="AD30" s="14"/>
      <c r="AE30" s="14"/>
      <c r="AF30" s="15"/>
      <c r="AG30" s="16"/>
      <c r="AH30" s="15"/>
      <c r="AI30" s="16"/>
      <c r="AJ30" s="15"/>
      <c r="AK30" s="16"/>
      <c r="AL30" s="15"/>
      <c r="AN30" s="106"/>
      <c r="AO30" s="14"/>
      <c r="AP30" s="14"/>
      <c r="AQ30" s="14"/>
      <c r="AR30" s="14"/>
      <c r="AS30" s="14"/>
      <c r="AT30" s="14"/>
      <c r="AU30" s="15"/>
      <c r="AV30" s="16"/>
      <c r="AW30" s="15"/>
      <c r="AX30" s="16"/>
      <c r="AY30" s="15"/>
      <c r="AZ30" s="16"/>
      <c r="BA30" s="15"/>
      <c r="BB30" s="107">
        <f t="shared" si="1"/>
        <v>0</v>
      </c>
    </row>
    <row r="31">
      <c r="B31" s="21"/>
      <c r="C31" s="22"/>
      <c r="D31" s="22"/>
      <c r="E31" s="22"/>
      <c r="F31" s="22"/>
      <c r="G31" s="22"/>
      <c r="H31" s="22"/>
      <c r="I31" s="22"/>
      <c r="J31" s="22"/>
      <c r="K31" s="22"/>
      <c r="L31" s="22"/>
      <c r="M31" s="22"/>
      <c r="N31" s="22"/>
      <c r="O31" s="22"/>
      <c r="P31" s="22"/>
      <c r="Q31" s="22"/>
      <c r="R31" s="22"/>
      <c r="S31" s="22"/>
      <c r="T31" s="22"/>
      <c r="U31" s="22"/>
      <c r="V31" s="22"/>
      <c r="W31" s="23"/>
      <c r="Y31" s="106"/>
      <c r="Z31" s="14"/>
      <c r="AA31" s="14"/>
      <c r="AB31" s="14"/>
      <c r="AC31" s="14"/>
      <c r="AD31" s="14"/>
      <c r="AE31" s="14"/>
      <c r="AF31" s="15"/>
      <c r="AG31" s="16"/>
      <c r="AH31" s="15"/>
      <c r="AI31" s="16"/>
      <c r="AJ31" s="15"/>
      <c r="AK31" s="16"/>
      <c r="AL31" s="15"/>
      <c r="AN31" s="106"/>
      <c r="AO31" s="14"/>
      <c r="AP31" s="14"/>
      <c r="AQ31" s="14"/>
      <c r="AR31" s="14"/>
      <c r="AS31" s="14"/>
      <c r="AT31" s="14"/>
      <c r="AU31" s="15"/>
      <c r="AV31" s="16"/>
      <c r="AW31" s="15"/>
      <c r="AX31" s="16"/>
      <c r="AY31" s="15"/>
      <c r="AZ31" s="16"/>
      <c r="BA31" s="15"/>
      <c r="BB31" s="107">
        <f t="shared" si="1"/>
        <v>0</v>
      </c>
    </row>
    <row r="32">
      <c r="B32" s="26" t="s">
        <v>179</v>
      </c>
      <c r="C32" s="14"/>
      <c r="D32" s="14"/>
      <c r="E32" s="14"/>
      <c r="F32" s="14"/>
      <c r="G32" s="14"/>
      <c r="H32" s="14"/>
      <c r="I32" s="14"/>
      <c r="J32" s="14"/>
      <c r="K32" s="14"/>
      <c r="L32" s="14"/>
      <c r="M32" s="14"/>
      <c r="N32" s="14"/>
      <c r="O32" s="14"/>
      <c r="P32" s="14"/>
      <c r="Q32" s="14"/>
      <c r="R32" s="14"/>
      <c r="S32" s="14"/>
      <c r="T32" s="14"/>
      <c r="U32" s="14"/>
      <c r="V32" s="14"/>
      <c r="W32" s="15"/>
      <c r="Y32" s="106"/>
      <c r="Z32" s="14"/>
      <c r="AA32" s="14"/>
      <c r="AB32" s="14"/>
      <c r="AC32" s="14"/>
      <c r="AD32" s="14"/>
      <c r="AE32" s="14"/>
      <c r="AF32" s="15"/>
      <c r="AG32" s="16"/>
      <c r="AH32" s="15"/>
      <c r="AI32" s="16"/>
      <c r="AJ32" s="15"/>
      <c r="AK32" s="16"/>
      <c r="AL32" s="15"/>
      <c r="AN32" s="106"/>
      <c r="AO32" s="14"/>
      <c r="AP32" s="14"/>
      <c r="AQ32" s="14"/>
      <c r="AR32" s="14"/>
      <c r="AS32" s="14"/>
      <c r="AT32" s="14"/>
      <c r="AU32" s="15"/>
      <c r="AV32" s="16"/>
      <c r="AW32" s="15"/>
      <c r="AX32" s="16"/>
      <c r="AY32" s="15"/>
      <c r="AZ32" s="16"/>
      <c r="BA32" s="15"/>
      <c r="BB32" s="107">
        <f t="shared" si="1"/>
        <v>0</v>
      </c>
    </row>
    <row r="33">
      <c r="B33" s="109"/>
      <c r="C33" s="8"/>
      <c r="D33" s="8"/>
      <c r="E33" s="8"/>
      <c r="F33" s="8"/>
      <c r="G33" s="8"/>
      <c r="H33" s="8"/>
      <c r="I33" s="8"/>
      <c r="J33" s="8"/>
      <c r="K33" s="8"/>
      <c r="L33" s="8"/>
      <c r="M33" s="8"/>
      <c r="N33" s="8"/>
      <c r="O33" s="8"/>
      <c r="P33" s="8"/>
      <c r="Q33" s="8"/>
      <c r="R33" s="8"/>
      <c r="S33" s="8"/>
      <c r="T33" s="8"/>
      <c r="U33" s="8"/>
      <c r="V33" s="8"/>
      <c r="W33" s="9"/>
      <c r="Y33" s="110"/>
      <c r="Z33" s="14"/>
      <c r="AA33" s="14"/>
      <c r="AB33" s="14"/>
      <c r="AC33" s="14"/>
      <c r="AD33" s="14"/>
      <c r="AE33" s="14"/>
      <c r="AF33" s="14"/>
      <c r="AG33" s="14"/>
      <c r="AH33" s="14"/>
      <c r="AI33" s="14"/>
      <c r="AJ33" s="14"/>
      <c r="AK33" s="14"/>
      <c r="AL33" s="15"/>
      <c r="AN33" s="110"/>
      <c r="AO33" s="14"/>
      <c r="AP33" s="14"/>
      <c r="AQ33" s="14"/>
      <c r="AR33" s="14"/>
      <c r="AS33" s="14"/>
      <c r="AT33" s="14"/>
      <c r="AU33" s="14"/>
      <c r="AV33" s="14"/>
      <c r="AW33" s="14"/>
      <c r="AX33" s="14"/>
      <c r="AY33" s="14"/>
      <c r="AZ33" s="14"/>
      <c r="BA33" s="15"/>
      <c r="BB33" s="29"/>
    </row>
    <row r="34">
      <c r="B34" s="41"/>
      <c r="W34" s="42"/>
      <c r="Y34" s="53" t="s">
        <v>180</v>
      </c>
      <c r="Z34" s="14"/>
      <c r="AA34" s="14"/>
      <c r="AB34" s="14"/>
      <c r="AC34" s="14"/>
      <c r="AD34" s="14"/>
      <c r="AE34" s="14"/>
      <c r="AF34" s="14"/>
      <c r="AG34" s="14"/>
      <c r="AH34" s="15"/>
      <c r="AI34" s="111">
        <f>SUM(BB8:BB32)</f>
        <v>0</v>
      </c>
      <c r="AJ34" s="14"/>
      <c r="AK34" s="14"/>
      <c r="AL34" s="15"/>
      <c r="AN34" s="112" t="s">
        <v>181</v>
      </c>
      <c r="AO34" s="14"/>
      <c r="AP34" s="14"/>
      <c r="AQ34" s="14"/>
      <c r="AR34" s="14"/>
      <c r="AS34" s="14"/>
      <c r="AT34" s="14"/>
      <c r="AU34" s="14"/>
      <c r="AV34" s="14"/>
      <c r="AW34" s="15"/>
      <c r="AX34" s="113">
        <f>For*2+8</f>
        <v>6</v>
      </c>
      <c r="AY34" s="14"/>
      <c r="AZ34" s="14"/>
      <c r="BA34" s="15"/>
      <c r="BB34" s="114"/>
    </row>
    <row r="35">
      <c r="B35" s="21"/>
      <c r="C35" s="22"/>
      <c r="D35" s="22"/>
      <c r="E35" s="22"/>
      <c r="F35" s="22"/>
      <c r="G35" s="22"/>
      <c r="H35" s="22"/>
      <c r="I35" s="22"/>
      <c r="J35" s="22"/>
      <c r="K35" s="22"/>
      <c r="L35" s="22"/>
      <c r="M35" s="22"/>
      <c r="N35" s="22"/>
      <c r="O35" s="22"/>
      <c r="P35" s="22"/>
      <c r="Q35" s="22"/>
      <c r="R35" s="22"/>
      <c r="S35" s="22"/>
      <c r="T35" s="22"/>
      <c r="U35" s="22"/>
      <c r="V35" s="22"/>
      <c r="W35" s="23"/>
      <c r="Y35" s="115"/>
      <c r="AN35" s="115"/>
      <c r="BB35" s="114"/>
    </row>
    <row r="36">
      <c r="B36" s="114"/>
    </row>
  </sheetData>
  <mergeCells count="256">
    <mergeCell ref="N5:W6"/>
    <mergeCell ref="Y5:BA6"/>
    <mergeCell ref="J5:M6"/>
    <mergeCell ref="J7:M7"/>
    <mergeCell ref="N7:W7"/>
    <mergeCell ref="Y7:AF7"/>
    <mergeCell ref="AG7:AH7"/>
    <mergeCell ref="AI7:AJ7"/>
    <mergeCell ref="AN7:AU7"/>
    <mergeCell ref="AV7:AW7"/>
    <mergeCell ref="AX7:AY7"/>
    <mergeCell ref="AZ7:BA7"/>
    <mergeCell ref="J8:M8"/>
    <mergeCell ref="N8:W8"/>
    <mergeCell ref="B6:I15"/>
    <mergeCell ref="J9:M9"/>
    <mergeCell ref="J10:M10"/>
    <mergeCell ref="J11:M11"/>
    <mergeCell ref="AX9:AY9"/>
    <mergeCell ref="AZ9:BA9"/>
    <mergeCell ref="AG10:AH10"/>
    <mergeCell ref="AI10:AJ10"/>
    <mergeCell ref="AK10:AL10"/>
    <mergeCell ref="AN10:AU10"/>
    <mergeCell ref="AV10:AW10"/>
    <mergeCell ref="AX10:AY10"/>
    <mergeCell ref="AV11:AW11"/>
    <mergeCell ref="AX11:AY11"/>
    <mergeCell ref="AN15:AU15"/>
    <mergeCell ref="AV15:AW15"/>
    <mergeCell ref="AX15:AY15"/>
    <mergeCell ref="AZ15:BA15"/>
    <mergeCell ref="N10:W10"/>
    <mergeCell ref="Y10:AF10"/>
    <mergeCell ref="N15:W15"/>
    <mergeCell ref="Y15:AF15"/>
    <mergeCell ref="AG15:AH15"/>
    <mergeCell ref="AI15:AJ15"/>
    <mergeCell ref="AK15:AL15"/>
    <mergeCell ref="Y13:AF13"/>
    <mergeCell ref="AG13:AH13"/>
    <mergeCell ref="N9:W9"/>
    <mergeCell ref="Y9:AF9"/>
    <mergeCell ref="N12:W12"/>
    <mergeCell ref="Y12:AF12"/>
    <mergeCell ref="AG12:AH12"/>
    <mergeCell ref="AI12:AJ12"/>
    <mergeCell ref="AI13:AJ13"/>
    <mergeCell ref="AZ10:BA10"/>
    <mergeCell ref="N11:W11"/>
    <mergeCell ref="Y11:AF11"/>
    <mergeCell ref="AG11:AH11"/>
    <mergeCell ref="AI11:AJ11"/>
    <mergeCell ref="AK11:AL11"/>
    <mergeCell ref="AN11:AU11"/>
    <mergeCell ref="AZ8:BA8"/>
    <mergeCell ref="AZ13:BA13"/>
    <mergeCell ref="J14:M14"/>
    <mergeCell ref="Y14:AF14"/>
    <mergeCell ref="AG14:AH14"/>
    <mergeCell ref="AI14:AJ14"/>
    <mergeCell ref="AK14:AL14"/>
    <mergeCell ref="AN14:AU14"/>
    <mergeCell ref="AV14:AW14"/>
    <mergeCell ref="AX14:AY14"/>
    <mergeCell ref="J13:M13"/>
    <mergeCell ref="J15:M15"/>
    <mergeCell ref="Y17:AF17"/>
    <mergeCell ref="Y18:AF18"/>
    <mergeCell ref="N13:W13"/>
    <mergeCell ref="N14:W14"/>
    <mergeCell ref="Y16:AF16"/>
    <mergeCell ref="AG16:AH16"/>
    <mergeCell ref="AI16:AJ16"/>
    <mergeCell ref="AG17:AH17"/>
    <mergeCell ref="AI17:AJ17"/>
    <mergeCell ref="AZ11:BA11"/>
    <mergeCell ref="J12:M12"/>
    <mergeCell ref="AZ12:BA12"/>
    <mergeCell ref="AZ14:BA14"/>
    <mergeCell ref="AZ16:BA16"/>
    <mergeCell ref="AG18:AH18"/>
    <mergeCell ref="AI18:AJ18"/>
    <mergeCell ref="AK18:AL18"/>
    <mergeCell ref="AN18:AU18"/>
    <mergeCell ref="AV18:AW18"/>
    <mergeCell ref="AX18:AY18"/>
    <mergeCell ref="B17:W19"/>
    <mergeCell ref="Y19:AF19"/>
    <mergeCell ref="AG19:AH19"/>
    <mergeCell ref="AI19:AJ19"/>
    <mergeCell ref="AN9:AU9"/>
    <mergeCell ref="AV9:AW9"/>
    <mergeCell ref="AN12:AU12"/>
    <mergeCell ref="AV12:AW12"/>
    <mergeCell ref="AX12:AY12"/>
    <mergeCell ref="AV13:AW13"/>
    <mergeCell ref="AX13:AY13"/>
    <mergeCell ref="AN13:AU13"/>
    <mergeCell ref="AN16:AU16"/>
    <mergeCell ref="AV16:AW16"/>
    <mergeCell ref="AX16:AY16"/>
    <mergeCell ref="AN17:AU17"/>
    <mergeCell ref="AV17:AW17"/>
    <mergeCell ref="AX17:AY17"/>
    <mergeCell ref="AZ24:BA24"/>
    <mergeCell ref="B25:W27"/>
    <mergeCell ref="Y25:AF25"/>
    <mergeCell ref="AG25:AH25"/>
    <mergeCell ref="AI25:AJ25"/>
    <mergeCell ref="AK25:AL25"/>
    <mergeCell ref="AN25:AU25"/>
    <mergeCell ref="AK30:AL30"/>
    <mergeCell ref="AN30:AU30"/>
    <mergeCell ref="AV30:AW30"/>
    <mergeCell ref="AX30:AY30"/>
    <mergeCell ref="Y30:AF30"/>
    <mergeCell ref="Y31:AF31"/>
    <mergeCell ref="AG31:AH31"/>
    <mergeCell ref="AI31:AJ31"/>
    <mergeCell ref="AK31:AL31"/>
    <mergeCell ref="AN31:AU31"/>
    <mergeCell ref="AV31:AW31"/>
    <mergeCell ref="AX31:AY31"/>
    <mergeCell ref="AZ32:BA32"/>
    <mergeCell ref="B33:W35"/>
    <mergeCell ref="Y33:AL33"/>
    <mergeCell ref="AN33:BA33"/>
    <mergeCell ref="AI34:AL34"/>
    <mergeCell ref="AN34:AW34"/>
    <mergeCell ref="AX34:BA34"/>
    <mergeCell ref="A1:BB1"/>
    <mergeCell ref="A2:A36"/>
    <mergeCell ref="B2:BA3"/>
    <mergeCell ref="B4:BA4"/>
    <mergeCell ref="B5:I5"/>
    <mergeCell ref="X5:X35"/>
    <mergeCell ref="AZ18:BA18"/>
    <mergeCell ref="AZ28:BA28"/>
    <mergeCell ref="B29:W31"/>
    <mergeCell ref="AX29:AY29"/>
    <mergeCell ref="AZ29:BA29"/>
    <mergeCell ref="AG30:AH30"/>
    <mergeCell ref="AI30:AJ30"/>
    <mergeCell ref="AZ30:BA30"/>
    <mergeCell ref="AZ31:BA31"/>
    <mergeCell ref="B32:W32"/>
    <mergeCell ref="Y32:AF32"/>
    <mergeCell ref="AG32:AH32"/>
    <mergeCell ref="AI32:AJ32"/>
    <mergeCell ref="AK32:AL32"/>
    <mergeCell ref="AN32:AU32"/>
    <mergeCell ref="AV32:AW32"/>
    <mergeCell ref="AX32:AY32"/>
    <mergeCell ref="Y34:AH34"/>
    <mergeCell ref="Y35:AL35"/>
    <mergeCell ref="AN35:BA35"/>
    <mergeCell ref="B36:BB36"/>
    <mergeCell ref="B16:W16"/>
    <mergeCell ref="AZ17:BA17"/>
    <mergeCell ref="AX19:AY19"/>
    <mergeCell ref="AZ19:BA19"/>
    <mergeCell ref="B20:W20"/>
    <mergeCell ref="Y20:AF20"/>
    <mergeCell ref="AG20:AH20"/>
    <mergeCell ref="AI20:AJ20"/>
    <mergeCell ref="AK20:AL20"/>
    <mergeCell ref="AN20:AU20"/>
    <mergeCell ref="AV20:AW20"/>
    <mergeCell ref="AX20:AY20"/>
    <mergeCell ref="AV21:AW21"/>
    <mergeCell ref="AX21:AY21"/>
    <mergeCell ref="Y24:AF24"/>
    <mergeCell ref="AG24:AH24"/>
    <mergeCell ref="AK17:AL17"/>
    <mergeCell ref="AK19:AL19"/>
    <mergeCell ref="Y22:AF22"/>
    <mergeCell ref="AG22:AH22"/>
    <mergeCell ref="AI22:AJ22"/>
    <mergeCell ref="AK22:AL22"/>
    <mergeCell ref="Y23:AF23"/>
    <mergeCell ref="AZ20:BA20"/>
    <mergeCell ref="B21:W23"/>
    <mergeCell ref="Y21:AF21"/>
    <mergeCell ref="AG21:AH21"/>
    <mergeCell ref="AI21:AJ21"/>
    <mergeCell ref="AK21:AL21"/>
    <mergeCell ref="AN21:AU21"/>
    <mergeCell ref="AZ23:BA23"/>
    <mergeCell ref="AZ21:BA21"/>
    <mergeCell ref="AZ22:BA22"/>
    <mergeCell ref="B24:W24"/>
    <mergeCell ref="AI24:AJ24"/>
    <mergeCell ref="AK24:AL24"/>
    <mergeCell ref="AN24:AU24"/>
    <mergeCell ref="AV24:AW24"/>
    <mergeCell ref="AX24:AY24"/>
    <mergeCell ref="AV25:AW25"/>
    <mergeCell ref="AX25:AY25"/>
    <mergeCell ref="AZ25:BA25"/>
    <mergeCell ref="Y26:AF26"/>
    <mergeCell ref="AN26:AU26"/>
    <mergeCell ref="AV26:AW26"/>
    <mergeCell ref="AG23:AH23"/>
    <mergeCell ref="AI23:AJ23"/>
    <mergeCell ref="AN23:AU23"/>
    <mergeCell ref="AV23:AW23"/>
    <mergeCell ref="AX23:AY23"/>
    <mergeCell ref="AG26:AH26"/>
    <mergeCell ref="AI26:AJ26"/>
    <mergeCell ref="AX26:AY26"/>
    <mergeCell ref="AZ26:BA26"/>
    <mergeCell ref="Y27:AF27"/>
    <mergeCell ref="AG27:AH27"/>
    <mergeCell ref="AI27:AJ27"/>
    <mergeCell ref="AK27:AL27"/>
    <mergeCell ref="AN27:AU27"/>
    <mergeCell ref="AV27:AW27"/>
    <mergeCell ref="AX27:AY27"/>
    <mergeCell ref="AZ27:BA27"/>
    <mergeCell ref="B28:W28"/>
    <mergeCell ref="Y28:AF28"/>
    <mergeCell ref="AG28:AH28"/>
    <mergeCell ref="AI28:AJ28"/>
    <mergeCell ref="AN29:AU29"/>
    <mergeCell ref="AV29:AW29"/>
    <mergeCell ref="AK23:AL23"/>
    <mergeCell ref="AK26:AL26"/>
    <mergeCell ref="AN28:AU28"/>
    <mergeCell ref="AV28:AW28"/>
    <mergeCell ref="AX28:AY28"/>
    <mergeCell ref="Y29:AF29"/>
    <mergeCell ref="AG29:AH29"/>
    <mergeCell ref="Y8:AF8"/>
    <mergeCell ref="AG8:AH8"/>
    <mergeCell ref="AI8:AJ8"/>
    <mergeCell ref="AN8:AU8"/>
    <mergeCell ref="AV8:AW8"/>
    <mergeCell ref="AX8:AY8"/>
    <mergeCell ref="AG9:AH9"/>
    <mergeCell ref="AI9:AJ9"/>
    <mergeCell ref="AN19:AU19"/>
    <mergeCell ref="AV19:AW19"/>
    <mergeCell ref="AN22:AU22"/>
    <mergeCell ref="AV22:AW22"/>
    <mergeCell ref="AX22:AY22"/>
    <mergeCell ref="AK7:AL7"/>
    <mergeCell ref="AM7:AM35"/>
    <mergeCell ref="AK8:AL8"/>
    <mergeCell ref="AK9:AL9"/>
    <mergeCell ref="AK12:AL12"/>
    <mergeCell ref="AK13:AL13"/>
    <mergeCell ref="AK16:AL16"/>
    <mergeCell ref="AK28:AL28"/>
    <mergeCell ref="AI29:AJ29"/>
    <mergeCell ref="AK29:AL29"/>
  </mergeCells>
  <conditionalFormatting sqref="A1:A36 B1:BA1 BB1:BB36 B4:W4 X4:X36 Y4:BA4 AM7:AM36 B36:W36 Y36:AL36 AN36:BA36 Y35:AL35 AN35:BA35">
    <cfRule type="containsBlanks" dxfId="1" priority="1">
      <formula>LEN(TRIM(A1))=0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64" width="3.25"/>
  </cols>
  <sheetData>
    <row r="1">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row>
    <row r="2">
      <c r="A2" s="29"/>
      <c r="B2" s="102" t="s">
        <v>182</v>
      </c>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9"/>
    </row>
    <row r="3">
      <c r="A3" s="29"/>
      <c r="B3" s="21"/>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3"/>
    </row>
    <row r="4">
      <c r="A4" s="29"/>
      <c r="BC4" s="29"/>
      <c r="BD4" s="29"/>
      <c r="BE4" s="29"/>
      <c r="BF4" s="29"/>
      <c r="BG4" s="29"/>
      <c r="BH4" s="29"/>
      <c r="BI4" s="29"/>
      <c r="BJ4" s="29"/>
      <c r="BK4" s="29"/>
      <c r="BL4" s="29"/>
    </row>
    <row r="5">
      <c r="A5" s="29"/>
      <c r="B5" s="27" t="s">
        <v>183</v>
      </c>
      <c r="C5" s="8"/>
      <c r="D5" s="8"/>
      <c r="E5" s="8"/>
      <c r="F5" s="8"/>
      <c r="G5" s="8"/>
      <c r="H5" s="8"/>
      <c r="I5" s="8"/>
      <c r="J5" s="8"/>
      <c r="K5" s="8"/>
      <c r="L5" s="9"/>
      <c r="M5" s="116"/>
      <c r="N5" s="30" t="s">
        <v>184</v>
      </c>
      <c r="O5" s="8"/>
      <c r="P5" s="8"/>
      <c r="Q5" s="8"/>
      <c r="R5" s="8"/>
      <c r="S5" s="8"/>
      <c r="T5" s="8"/>
      <c r="U5" s="8"/>
      <c r="V5" s="8"/>
      <c r="W5" s="8"/>
      <c r="X5" s="8"/>
      <c r="Y5" s="9"/>
      <c r="Z5" s="29"/>
      <c r="AA5" s="30" t="s">
        <v>185</v>
      </c>
      <c r="AB5" s="8"/>
      <c r="AC5" s="8"/>
      <c r="AD5" s="8"/>
      <c r="AE5" s="8"/>
      <c r="AF5" s="8"/>
      <c r="AG5" s="8"/>
      <c r="AH5" s="8"/>
      <c r="AI5" s="8"/>
      <c r="AJ5" s="8"/>
      <c r="AK5" s="8"/>
      <c r="AL5" s="8"/>
      <c r="AM5" s="8"/>
      <c r="AN5" s="8"/>
      <c r="AO5" s="8"/>
      <c r="AP5" s="8"/>
      <c r="AQ5" s="8"/>
      <c r="AR5" s="8"/>
      <c r="AS5" s="8"/>
      <c r="AT5" s="8"/>
      <c r="AU5" s="8"/>
      <c r="AV5" s="8"/>
      <c r="AW5" s="8"/>
      <c r="AX5" s="8"/>
      <c r="AY5" s="8"/>
      <c r="AZ5" s="9"/>
      <c r="BA5" s="117"/>
      <c r="BB5" s="27" t="s">
        <v>186</v>
      </c>
      <c r="BC5" s="8"/>
      <c r="BD5" s="8"/>
      <c r="BE5" s="8"/>
      <c r="BF5" s="8"/>
      <c r="BG5" s="8"/>
      <c r="BH5" s="8"/>
      <c r="BI5" s="8"/>
      <c r="BJ5" s="8"/>
      <c r="BK5" s="8"/>
      <c r="BL5" s="9"/>
    </row>
    <row r="6">
      <c r="B6" s="21"/>
      <c r="C6" s="22"/>
      <c r="D6" s="22"/>
      <c r="E6" s="22"/>
      <c r="F6" s="22"/>
      <c r="G6" s="22"/>
      <c r="H6" s="22"/>
      <c r="I6" s="22"/>
      <c r="J6" s="22"/>
      <c r="K6" s="22"/>
      <c r="L6" s="23"/>
      <c r="N6" s="21"/>
      <c r="O6" s="22"/>
      <c r="P6" s="22"/>
      <c r="Q6" s="22"/>
      <c r="R6" s="22"/>
      <c r="S6" s="22"/>
      <c r="T6" s="22"/>
      <c r="U6" s="22"/>
      <c r="V6" s="22"/>
      <c r="W6" s="22"/>
      <c r="X6" s="22"/>
      <c r="Y6" s="23"/>
      <c r="AA6" s="21"/>
      <c r="AB6" s="22"/>
      <c r="AC6" s="22"/>
      <c r="AD6" s="22"/>
      <c r="AE6" s="22"/>
      <c r="AF6" s="22"/>
      <c r="AG6" s="22"/>
      <c r="AH6" s="22"/>
      <c r="AI6" s="22"/>
      <c r="AJ6" s="22"/>
      <c r="AK6" s="22"/>
      <c r="AL6" s="22"/>
      <c r="AM6" s="22"/>
      <c r="AN6" s="22"/>
      <c r="AO6" s="22"/>
      <c r="AP6" s="22"/>
      <c r="AQ6" s="22"/>
      <c r="AR6" s="22"/>
      <c r="AS6" s="22"/>
      <c r="AT6" s="22"/>
      <c r="AU6" s="22"/>
      <c r="AV6" s="22"/>
      <c r="AW6" s="22"/>
      <c r="AX6" s="22"/>
      <c r="AY6" s="22"/>
      <c r="AZ6" s="23"/>
      <c r="BB6" s="21"/>
      <c r="BC6" s="22"/>
      <c r="BD6" s="22"/>
      <c r="BE6" s="22"/>
      <c r="BF6" s="22"/>
      <c r="BG6" s="22"/>
      <c r="BH6" s="22"/>
      <c r="BI6" s="22"/>
      <c r="BJ6" s="22"/>
      <c r="BK6" s="22"/>
      <c r="BL6" s="23"/>
    </row>
    <row r="7">
      <c r="B7" s="13" t="s">
        <v>187</v>
      </c>
      <c r="C7" s="14"/>
      <c r="D7" s="14"/>
      <c r="E7" s="14"/>
      <c r="F7" s="14"/>
      <c r="G7" s="14"/>
      <c r="H7" s="14"/>
      <c r="I7" s="14"/>
      <c r="J7" s="14"/>
      <c r="K7" s="14"/>
      <c r="L7" s="15"/>
      <c r="N7" s="17" t="s">
        <v>47</v>
      </c>
      <c r="O7" s="14"/>
      <c r="P7" s="14"/>
      <c r="Q7" s="14"/>
      <c r="R7" s="14"/>
      <c r="S7" s="15"/>
      <c r="T7" s="17" t="s">
        <v>48</v>
      </c>
      <c r="U7" s="15"/>
      <c r="V7" s="17" t="s">
        <v>49</v>
      </c>
      <c r="W7" s="15"/>
      <c r="X7" s="17" t="s">
        <v>50</v>
      </c>
      <c r="Y7" s="15"/>
      <c r="AA7" s="112" t="s">
        <v>188</v>
      </c>
      <c r="AB7" s="14"/>
      <c r="AC7" s="14"/>
      <c r="AD7" s="14"/>
      <c r="AE7" s="14"/>
      <c r="AF7" s="14"/>
      <c r="AG7" s="14"/>
      <c r="AH7" s="15"/>
      <c r="AI7" s="118"/>
      <c r="AJ7" s="112" t="s">
        <v>189</v>
      </c>
      <c r="AK7" s="14"/>
      <c r="AL7" s="14"/>
      <c r="AM7" s="14"/>
      <c r="AN7" s="14"/>
      <c r="AO7" s="14"/>
      <c r="AP7" s="14"/>
      <c r="AQ7" s="15"/>
      <c r="AR7" s="118"/>
      <c r="AS7" s="112" t="s">
        <v>190</v>
      </c>
      <c r="AT7" s="14"/>
      <c r="AU7" s="14"/>
      <c r="AV7" s="14"/>
      <c r="AW7" s="14"/>
      <c r="AX7" s="14"/>
      <c r="AY7" s="14"/>
      <c r="AZ7" s="15"/>
      <c r="BB7" s="13" t="s">
        <v>191</v>
      </c>
      <c r="BC7" s="14"/>
      <c r="BD7" s="14"/>
      <c r="BE7" s="14"/>
      <c r="BF7" s="14"/>
      <c r="BG7" s="14"/>
      <c r="BH7" s="14"/>
      <c r="BI7" s="14"/>
      <c r="BJ7" s="14"/>
      <c r="BK7" s="14"/>
      <c r="BL7" s="15"/>
    </row>
    <row r="8">
      <c r="B8" s="24"/>
      <c r="C8" s="8"/>
      <c r="D8" s="8"/>
      <c r="E8" s="8"/>
      <c r="F8" s="8"/>
      <c r="G8" s="8"/>
      <c r="H8" s="8"/>
      <c r="I8" s="8"/>
      <c r="J8" s="8"/>
      <c r="K8" s="8"/>
      <c r="L8" s="9"/>
      <c r="N8" s="45" t="s">
        <v>192</v>
      </c>
      <c r="O8" s="14"/>
      <c r="P8" s="14"/>
      <c r="Q8" s="14"/>
      <c r="R8" s="14"/>
      <c r="S8" s="15"/>
      <c r="T8" s="46"/>
      <c r="U8" s="15"/>
      <c r="V8" s="46"/>
      <c r="W8" s="15"/>
      <c r="X8" s="46"/>
      <c r="Y8" s="15"/>
      <c r="AA8" s="111"/>
      <c r="AB8" s="14"/>
      <c r="AC8" s="14"/>
      <c r="AD8" s="14"/>
      <c r="AE8" s="14"/>
      <c r="AF8" s="14"/>
      <c r="AG8" s="14"/>
      <c r="AH8" s="15"/>
      <c r="AI8" s="119"/>
      <c r="AJ8" s="16" t="s">
        <v>193</v>
      </c>
      <c r="AK8" s="14"/>
      <c r="AL8" s="14"/>
      <c r="AM8" s="14"/>
      <c r="AN8" s="14"/>
      <c r="AO8" s="14"/>
      <c r="AP8" s="14"/>
      <c r="AQ8" s="15"/>
      <c r="AR8" s="119"/>
      <c r="AS8" s="16" t="s">
        <v>194</v>
      </c>
      <c r="AT8" s="14"/>
      <c r="AU8" s="14"/>
      <c r="AV8" s="14"/>
      <c r="AW8" s="14"/>
      <c r="AX8" s="14"/>
      <c r="AY8" s="14"/>
      <c r="AZ8" s="15"/>
      <c r="BB8" s="24"/>
      <c r="BC8" s="8"/>
      <c r="BD8" s="8"/>
      <c r="BE8" s="8"/>
      <c r="BF8" s="8"/>
      <c r="BG8" s="8"/>
      <c r="BH8" s="8"/>
      <c r="BI8" s="8"/>
      <c r="BJ8" s="8"/>
      <c r="BK8" s="8"/>
      <c r="BL8" s="9"/>
    </row>
    <row r="9">
      <c r="B9" s="21"/>
      <c r="C9" s="22"/>
      <c r="D9" s="22"/>
      <c r="E9" s="22"/>
      <c r="F9" s="22"/>
      <c r="G9" s="22"/>
      <c r="H9" s="22"/>
      <c r="I9" s="22"/>
      <c r="J9" s="22"/>
      <c r="K9" s="22"/>
      <c r="L9" s="23"/>
      <c r="N9" s="45" t="s">
        <v>195</v>
      </c>
      <c r="O9" s="14"/>
      <c r="P9" s="14"/>
      <c r="Q9" s="14"/>
      <c r="R9" s="14"/>
      <c r="S9" s="15"/>
      <c r="T9" s="46"/>
      <c r="U9" s="15"/>
      <c r="V9" s="46"/>
      <c r="W9" s="15"/>
      <c r="X9" s="46"/>
      <c r="Y9" s="15"/>
      <c r="AA9" s="111"/>
      <c r="AB9" s="14"/>
      <c r="AC9" s="14"/>
      <c r="AD9" s="14"/>
      <c r="AE9" s="14"/>
      <c r="AF9" s="14"/>
      <c r="AG9" s="14"/>
      <c r="AH9" s="15"/>
      <c r="AI9" s="119"/>
      <c r="AJ9" s="16"/>
      <c r="AK9" s="14"/>
      <c r="AL9" s="14"/>
      <c r="AM9" s="14"/>
      <c r="AN9" s="14"/>
      <c r="AO9" s="14"/>
      <c r="AP9" s="14"/>
      <c r="AQ9" s="15"/>
      <c r="AR9" s="119"/>
      <c r="AS9" s="16" t="s">
        <v>196</v>
      </c>
      <c r="AT9" s="14"/>
      <c r="AU9" s="14"/>
      <c r="AV9" s="14"/>
      <c r="AW9" s="14"/>
      <c r="AX9" s="14"/>
      <c r="AY9" s="14"/>
      <c r="AZ9" s="15"/>
      <c r="BB9" s="21"/>
      <c r="BC9" s="22"/>
      <c r="BD9" s="22"/>
      <c r="BE9" s="22"/>
      <c r="BF9" s="22"/>
      <c r="BG9" s="22"/>
      <c r="BH9" s="22"/>
      <c r="BI9" s="22"/>
      <c r="BJ9" s="22"/>
      <c r="BK9" s="22"/>
      <c r="BL9" s="23"/>
    </row>
    <row r="10">
      <c r="B10" s="13" t="s">
        <v>197</v>
      </c>
      <c r="C10" s="14"/>
      <c r="D10" s="14"/>
      <c r="E10" s="14"/>
      <c r="F10" s="14"/>
      <c r="G10" s="14"/>
      <c r="H10" s="14"/>
      <c r="I10" s="14"/>
      <c r="J10" s="14"/>
      <c r="K10" s="14"/>
      <c r="L10" s="15"/>
      <c r="N10" s="45" t="s">
        <v>198</v>
      </c>
      <c r="O10" s="14"/>
      <c r="P10" s="14"/>
      <c r="Q10" s="14"/>
      <c r="R10" s="14"/>
      <c r="S10" s="15"/>
      <c r="T10" s="46"/>
      <c r="U10" s="15"/>
      <c r="V10" s="46"/>
      <c r="W10" s="15"/>
      <c r="X10" s="46"/>
      <c r="Y10" s="15"/>
      <c r="AA10" s="111"/>
      <c r="AB10" s="14"/>
      <c r="AC10" s="14"/>
      <c r="AD10" s="14"/>
      <c r="AE10" s="14"/>
      <c r="AF10" s="14"/>
      <c r="AG10" s="14"/>
      <c r="AH10" s="15"/>
      <c r="AI10" s="119"/>
      <c r="AJ10" s="111"/>
      <c r="AK10" s="14"/>
      <c r="AL10" s="14"/>
      <c r="AM10" s="14"/>
      <c r="AN10" s="14"/>
      <c r="AO10" s="14"/>
      <c r="AP10" s="14"/>
      <c r="AQ10" s="15"/>
      <c r="AR10" s="119"/>
      <c r="AS10" s="16" t="s">
        <v>199</v>
      </c>
      <c r="AT10" s="14"/>
      <c r="AU10" s="14"/>
      <c r="AV10" s="14"/>
      <c r="AW10" s="14"/>
      <c r="AX10" s="14"/>
      <c r="AY10" s="14"/>
      <c r="AZ10" s="15"/>
      <c r="BB10" s="13" t="s">
        <v>200</v>
      </c>
      <c r="BC10" s="14"/>
      <c r="BD10" s="14"/>
      <c r="BE10" s="14"/>
      <c r="BF10" s="14"/>
      <c r="BG10" s="14"/>
      <c r="BH10" s="14"/>
      <c r="BI10" s="14"/>
      <c r="BJ10" s="14"/>
      <c r="BK10" s="14"/>
      <c r="BL10" s="15"/>
    </row>
    <row r="11">
      <c r="B11" s="120"/>
      <c r="C11" s="8"/>
      <c r="D11" s="8"/>
      <c r="E11" s="8"/>
      <c r="F11" s="8"/>
      <c r="G11" s="8"/>
      <c r="H11" s="8"/>
      <c r="I11" s="8"/>
      <c r="J11" s="8"/>
      <c r="K11" s="8"/>
      <c r="L11" s="9"/>
      <c r="N11" s="45" t="s">
        <v>201</v>
      </c>
      <c r="O11" s="14"/>
      <c r="P11" s="14"/>
      <c r="Q11" s="14"/>
      <c r="R11" s="14"/>
      <c r="S11" s="15"/>
      <c r="T11" s="46"/>
      <c r="U11" s="15"/>
      <c r="V11" s="46"/>
      <c r="W11" s="15"/>
      <c r="X11" s="46"/>
      <c r="Y11" s="15"/>
      <c r="AA11" s="111"/>
      <c r="AB11" s="14"/>
      <c r="AC11" s="14"/>
      <c r="AD11" s="14"/>
      <c r="AE11" s="14"/>
      <c r="AF11" s="14"/>
      <c r="AG11" s="14"/>
      <c r="AH11" s="15"/>
      <c r="AI11" s="119"/>
      <c r="AJ11" s="111"/>
      <c r="AK11" s="14"/>
      <c r="AL11" s="14"/>
      <c r="AM11" s="14"/>
      <c r="AN11" s="14"/>
      <c r="AO11" s="14"/>
      <c r="AP11" s="14"/>
      <c r="AQ11" s="15"/>
      <c r="AR11" s="119"/>
      <c r="AS11" s="111"/>
      <c r="AT11" s="14"/>
      <c r="AU11" s="14"/>
      <c r="AV11" s="14"/>
      <c r="AW11" s="14"/>
      <c r="AX11" s="14"/>
      <c r="AY11" s="14"/>
      <c r="AZ11" s="15"/>
      <c r="BB11" s="121"/>
      <c r="BC11" s="14"/>
      <c r="BD11" s="14"/>
      <c r="BE11" s="14"/>
      <c r="BF11" s="14"/>
      <c r="BG11" s="14"/>
      <c r="BH11" s="14"/>
      <c r="BI11" s="14"/>
      <c r="BJ11" s="14"/>
      <c r="BK11" s="14"/>
      <c r="BL11" s="15"/>
    </row>
    <row r="12">
      <c r="B12" s="41"/>
      <c r="L12" s="42"/>
      <c r="N12" s="45"/>
      <c r="O12" s="14"/>
      <c r="P12" s="14"/>
      <c r="Q12" s="14"/>
      <c r="R12" s="14"/>
      <c r="S12" s="15"/>
      <c r="T12" s="46"/>
      <c r="U12" s="15"/>
      <c r="V12" s="46"/>
      <c r="W12" s="15"/>
      <c r="X12" s="46"/>
      <c r="Y12" s="15"/>
      <c r="AA12" s="111"/>
      <c r="AB12" s="14"/>
      <c r="AC12" s="14"/>
      <c r="AD12" s="14"/>
      <c r="AE12" s="14"/>
      <c r="AF12" s="14"/>
      <c r="AG12" s="14"/>
      <c r="AH12" s="15"/>
      <c r="AI12" s="119"/>
      <c r="AJ12" s="111"/>
      <c r="AK12" s="14"/>
      <c r="AL12" s="14"/>
      <c r="AM12" s="14"/>
      <c r="AN12" s="14"/>
      <c r="AO12" s="14"/>
      <c r="AP12" s="14"/>
      <c r="AQ12" s="15"/>
      <c r="AR12" s="119"/>
      <c r="AS12" s="111"/>
      <c r="AT12" s="14"/>
      <c r="AU12" s="14"/>
      <c r="AV12" s="14"/>
      <c r="AW12" s="14"/>
      <c r="AX12" s="14"/>
      <c r="AY12" s="14"/>
      <c r="AZ12" s="15"/>
      <c r="BB12" s="13" t="s">
        <v>202</v>
      </c>
      <c r="BC12" s="14"/>
      <c r="BD12" s="14"/>
      <c r="BE12" s="14"/>
      <c r="BF12" s="14"/>
      <c r="BG12" s="14"/>
      <c r="BH12" s="14"/>
      <c r="BI12" s="14"/>
      <c r="BJ12" s="14"/>
      <c r="BK12" s="14"/>
      <c r="BL12" s="15"/>
    </row>
    <row r="13">
      <c r="B13" s="41"/>
      <c r="L13" s="42"/>
      <c r="N13" s="45"/>
      <c r="O13" s="14"/>
      <c r="P13" s="14"/>
      <c r="Q13" s="14"/>
      <c r="R13" s="14"/>
      <c r="S13" s="15"/>
      <c r="T13" s="46"/>
      <c r="U13" s="15"/>
      <c r="V13" s="46"/>
      <c r="W13" s="15"/>
      <c r="X13" s="46"/>
      <c r="Y13" s="15"/>
      <c r="AA13" s="111"/>
      <c r="AB13" s="14"/>
      <c r="AC13" s="14"/>
      <c r="AD13" s="14"/>
      <c r="AE13" s="14"/>
      <c r="AF13" s="14"/>
      <c r="AG13" s="14"/>
      <c r="AH13" s="15"/>
      <c r="AI13" s="119"/>
      <c r="AJ13" s="111"/>
      <c r="AK13" s="14"/>
      <c r="AL13" s="14"/>
      <c r="AM13" s="14"/>
      <c r="AN13" s="14"/>
      <c r="AO13" s="14"/>
      <c r="AP13" s="14"/>
      <c r="AQ13" s="15"/>
      <c r="AR13" s="119"/>
      <c r="AS13" s="111"/>
      <c r="AT13" s="14"/>
      <c r="AU13" s="14"/>
      <c r="AV13" s="14"/>
      <c r="AW13" s="14"/>
      <c r="AX13" s="14"/>
      <c r="AY13" s="14"/>
      <c r="AZ13" s="15"/>
      <c r="BB13" s="120"/>
      <c r="BC13" s="8"/>
      <c r="BD13" s="8"/>
      <c r="BE13" s="8"/>
      <c r="BF13" s="8"/>
      <c r="BG13" s="8"/>
      <c r="BH13" s="8"/>
      <c r="BI13" s="8"/>
      <c r="BJ13" s="8"/>
      <c r="BK13" s="8"/>
      <c r="BL13" s="9"/>
    </row>
    <row r="14">
      <c r="B14" s="41"/>
      <c r="L14" s="42"/>
      <c r="N14" s="45"/>
      <c r="O14" s="14"/>
      <c r="P14" s="14"/>
      <c r="Q14" s="14"/>
      <c r="R14" s="14"/>
      <c r="S14" s="15"/>
      <c r="T14" s="46"/>
      <c r="U14" s="15"/>
      <c r="V14" s="46"/>
      <c r="W14" s="15"/>
      <c r="X14" s="46"/>
      <c r="Y14" s="15"/>
      <c r="AA14" s="111"/>
      <c r="AB14" s="14"/>
      <c r="AC14" s="14"/>
      <c r="AD14" s="14"/>
      <c r="AE14" s="14"/>
      <c r="AF14" s="14"/>
      <c r="AG14" s="14"/>
      <c r="AH14" s="15"/>
      <c r="AI14" s="119"/>
      <c r="AJ14" s="111"/>
      <c r="AK14" s="14"/>
      <c r="AL14" s="14"/>
      <c r="AM14" s="14"/>
      <c r="AN14" s="14"/>
      <c r="AO14" s="14"/>
      <c r="AP14" s="14"/>
      <c r="AQ14" s="15"/>
      <c r="AR14" s="119"/>
      <c r="AS14" s="111"/>
      <c r="AT14" s="14"/>
      <c r="AU14" s="14"/>
      <c r="AV14" s="14"/>
      <c r="AW14" s="14"/>
      <c r="AX14" s="14"/>
      <c r="AY14" s="14"/>
      <c r="AZ14" s="15"/>
      <c r="BB14" s="41"/>
      <c r="BL14" s="42"/>
    </row>
    <row r="15">
      <c r="B15" s="21"/>
      <c r="C15" s="22"/>
      <c r="D15" s="22"/>
      <c r="E15" s="22"/>
      <c r="F15" s="22"/>
      <c r="G15" s="22"/>
      <c r="H15" s="22"/>
      <c r="I15" s="22"/>
      <c r="J15" s="22"/>
      <c r="K15" s="22"/>
      <c r="L15" s="23"/>
      <c r="N15" s="45"/>
      <c r="O15" s="14"/>
      <c r="P15" s="14"/>
      <c r="Q15" s="14"/>
      <c r="R15" s="14"/>
      <c r="S15" s="15"/>
      <c r="T15" s="46"/>
      <c r="U15" s="15"/>
      <c r="V15" s="46"/>
      <c r="W15" s="15"/>
      <c r="X15" s="46"/>
      <c r="Y15" s="15"/>
      <c r="AA15" s="111"/>
      <c r="AB15" s="14"/>
      <c r="AC15" s="14"/>
      <c r="AD15" s="14"/>
      <c r="AE15" s="14"/>
      <c r="AF15" s="14"/>
      <c r="AG15" s="14"/>
      <c r="AH15" s="15"/>
      <c r="AI15" s="119"/>
      <c r="AJ15" s="111"/>
      <c r="AK15" s="14"/>
      <c r="AL15" s="14"/>
      <c r="AM15" s="14"/>
      <c r="AN15" s="14"/>
      <c r="AO15" s="14"/>
      <c r="AP15" s="14"/>
      <c r="AQ15" s="15"/>
      <c r="AR15" s="119"/>
      <c r="AS15" s="111"/>
      <c r="AT15" s="14"/>
      <c r="AU15" s="14"/>
      <c r="AV15" s="14"/>
      <c r="AW15" s="14"/>
      <c r="AX15" s="14"/>
      <c r="AY15" s="14"/>
      <c r="AZ15" s="15"/>
      <c r="BB15" s="41"/>
      <c r="BL15" s="42"/>
    </row>
    <row r="16">
      <c r="B16" s="27" t="s">
        <v>182</v>
      </c>
      <c r="C16" s="8"/>
      <c r="D16" s="8"/>
      <c r="E16" s="8"/>
      <c r="F16" s="8"/>
      <c r="G16" s="8"/>
      <c r="H16" s="8"/>
      <c r="I16" s="8"/>
      <c r="J16" s="8"/>
      <c r="K16" s="8"/>
      <c r="L16" s="9"/>
      <c r="N16" s="45"/>
      <c r="O16" s="14"/>
      <c r="P16" s="14"/>
      <c r="Q16" s="14"/>
      <c r="R16" s="14"/>
      <c r="S16" s="15"/>
      <c r="T16" s="46"/>
      <c r="U16" s="15"/>
      <c r="V16" s="46"/>
      <c r="W16" s="15"/>
      <c r="X16" s="46"/>
      <c r="Y16" s="15"/>
      <c r="AA16" s="111"/>
      <c r="AB16" s="14"/>
      <c r="AC16" s="14"/>
      <c r="AD16" s="14"/>
      <c r="AE16" s="14"/>
      <c r="AF16" s="14"/>
      <c r="AG16" s="14"/>
      <c r="AH16" s="15"/>
      <c r="AI16" s="119"/>
      <c r="AJ16" s="111"/>
      <c r="AK16" s="14"/>
      <c r="AL16" s="14"/>
      <c r="AM16" s="14"/>
      <c r="AN16" s="14"/>
      <c r="AO16" s="14"/>
      <c r="AP16" s="14"/>
      <c r="AQ16" s="15"/>
      <c r="AR16" s="119"/>
      <c r="AS16" s="111"/>
      <c r="AT16" s="14"/>
      <c r="AU16" s="14"/>
      <c r="AV16" s="14"/>
      <c r="AW16" s="14"/>
      <c r="AX16" s="14"/>
      <c r="AY16" s="14"/>
      <c r="AZ16" s="15"/>
      <c r="BB16" s="41"/>
      <c r="BL16" s="42"/>
    </row>
    <row r="17">
      <c r="B17" s="21"/>
      <c r="C17" s="22"/>
      <c r="D17" s="22"/>
      <c r="E17" s="22"/>
      <c r="F17" s="22"/>
      <c r="G17" s="22"/>
      <c r="H17" s="22"/>
      <c r="I17" s="22"/>
      <c r="J17" s="22"/>
      <c r="K17" s="22"/>
      <c r="L17" s="23"/>
      <c r="N17" s="45"/>
      <c r="O17" s="14"/>
      <c r="P17" s="14"/>
      <c r="Q17" s="14"/>
      <c r="R17" s="14"/>
      <c r="S17" s="15"/>
      <c r="T17" s="46"/>
      <c r="U17" s="15"/>
      <c r="V17" s="46"/>
      <c r="W17" s="15"/>
      <c r="X17" s="46"/>
      <c r="Y17" s="15"/>
      <c r="AA17" s="111"/>
      <c r="AB17" s="14"/>
      <c r="AC17" s="14"/>
      <c r="AD17" s="14"/>
      <c r="AE17" s="14"/>
      <c r="AF17" s="14"/>
      <c r="AG17" s="14"/>
      <c r="AH17" s="15"/>
      <c r="AI17" s="119"/>
      <c r="AJ17" s="111"/>
      <c r="AK17" s="14"/>
      <c r="AL17" s="14"/>
      <c r="AM17" s="14"/>
      <c r="AN17" s="14"/>
      <c r="AO17" s="14"/>
      <c r="AP17" s="14"/>
      <c r="AQ17" s="15"/>
      <c r="AR17" s="119"/>
      <c r="AS17" s="111"/>
      <c r="AT17" s="14"/>
      <c r="AU17" s="14"/>
      <c r="AV17" s="14"/>
      <c r="AW17" s="14"/>
      <c r="AX17" s="14"/>
      <c r="AY17" s="14"/>
      <c r="AZ17" s="15"/>
      <c r="BB17" s="21"/>
      <c r="BC17" s="22"/>
      <c r="BD17" s="22"/>
      <c r="BE17" s="22"/>
      <c r="BF17" s="22"/>
      <c r="BG17" s="22"/>
      <c r="BH17" s="22"/>
      <c r="BI17" s="22"/>
      <c r="BJ17" s="22"/>
      <c r="BK17" s="22"/>
      <c r="BL17" s="23"/>
    </row>
    <row r="18">
      <c r="B18" s="32" t="s">
        <v>203</v>
      </c>
      <c r="C18" s="8"/>
      <c r="D18" s="8"/>
      <c r="E18" s="8"/>
      <c r="F18" s="9"/>
      <c r="G18" s="122">
        <v>4.0</v>
      </c>
      <c r="H18" s="8"/>
      <c r="I18" s="8"/>
      <c r="J18" s="8"/>
      <c r="K18" s="9"/>
      <c r="L18" s="123"/>
      <c r="N18" s="45"/>
      <c r="O18" s="14"/>
      <c r="P18" s="14"/>
      <c r="Q18" s="14"/>
      <c r="R18" s="14"/>
      <c r="S18" s="15"/>
      <c r="T18" s="46"/>
      <c r="U18" s="15"/>
      <c r="V18" s="46"/>
      <c r="W18" s="15"/>
      <c r="X18" s="46"/>
      <c r="Y18" s="15"/>
      <c r="AA18" s="112" t="s">
        <v>204</v>
      </c>
      <c r="AB18" s="14"/>
      <c r="AC18" s="14"/>
      <c r="AD18" s="14"/>
      <c r="AE18" s="14"/>
      <c r="AF18" s="14"/>
      <c r="AG18" s="14"/>
      <c r="AH18" s="15"/>
      <c r="AI18" s="119"/>
      <c r="AJ18" s="112" t="s">
        <v>205</v>
      </c>
      <c r="AK18" s="14"/>
      <c r="AL18" s="14"/>
      <c r="AM18" s="14"/>
      <c r="AN18" s="14"/>
      <c r="AO18" s="14"/>
      <c r="AP18" s="14"/>
      <c r="AQ18" s="15"/>
      <c r="AR18" s="119"/>
      <c r="AS18" s="112" t="s">
        <v>206</v>
      </c>
      <c r="AT18" s="14"/>
      <c r="AU18" s="14"/>
      <c r="AV18" s="14"/>
      <c r="AW18" s="14"/>
      <c r="AX18" s="14"/>
      <c r="AY18" s="14"/>
      <c r="AZ18" s="15"/>
      <c r="BB18" s="117"/>
    </row>
    <row r="19">
      <c r="B19" s="21"/>
      <c r="C19" s="22"/>
      <c r="D19" s="22"/>
      <c r="E19" s="22"/>
      <c r="F19" s="23"/>
      <c r="G19" s="21"/>
      <c r="H19" s="22"/>
      <c r="I19" s="22"/>
      <c r="J19" s="22"/>
      <c r="K19" s="23"/>
      <c r="L19" s="42"/>
      <c r="N19" s="45"/>
      <c r="O19" s="14"/>
      <c r="P19" s="14"/>
      <c r="Q19" s="14"/>
      <c r="R19" s="14"/>
      <c r="S19" s="15"/>
      <c r="T19" s="46"/>
      <c r="U19" s="15"/>
      <c r="V19" s="46"/>
      <c r="W19" s="15"/>
      <c r="X19" s="46"/>
      <c r="Y19" s="15"/>
      <c r="AA19" s="111"/>
      <c r="AB19" s="14"/>
      <c r="AC19" s="14"/>
      <c r="AD19" s="14"/>
      <c r="AE19" s="14"/>
      <c r="AF19" s="14"/>
      <c r="AG19" s="14"/>
      <c r="AH19" s="15"/>
      <c r="AI19" s="119"/>
      <c r="AJ19" s="111"/>
      <c r="AK19" s="14"/>
      <c r="AL19" s="14"/>
      <c r="AM19" s="14"/>
      <c r="AN19" s="14"/>
      <c r="AO19" s="14"/>
      <c r="AP19" s="14"/>
      <c r="AQ19" s="15"/>
      <c r="AR19" s="119"/>
      <c r="AS19" s="111"/>
      <c r="AT19" s="14"/>
      <c r="AU19" s="14"/>
      <c r="AV19" s="14"/>
      <c r="AW19" s="14"/>
      <c r="AX19" s="14"/>
      <c r="AY19" s="14"/>
      <c r="AZ19" s="15"/>
      <c r="BB19" s="27" t="s">
        <v>207</v>
      </c>
      <c r="BC19" s="8"/>
      <c r="BD19" s="8"/>
      <c r="BE19" s="8"/>
      <c r="BF19" s="8"/>
      <c r="BG19" s="8"/>
      <c r="BH19" s="8"/>
      <c r="BI19" s="8"/>
      <c r="BJ19" s="8"/>
      <c r="BK19" s="8"/>
      <c r="BL19" s="9"/>
    </row>
    <row r="20">
      <c r="B20" s="32" t="s">
        <v>208</v>
      </c>
      <c r="C20" s="8"/>
      <c r="D20" s="8"/>
      <c r="E20" s="8"/>
      <c r="F20" s="9"/>
      <c r="G20" s="122" t="s">
        <v>209</v>
      </c>
      <c r="H20" s="8"/>
      <c r="I20" s="8"/>
      <c r="J20" s="8"/>
      <c r="K20" s="9"/>
      <c r="L20" s="42"/>
      <c r="N20" s="45"/>
      <c r="O20" s="14"/>
      <c r="P20" s="14"/>
      <c r="Q20" s="14"/>
      <c r="R20" s="14"/>
      <c r="S20" s="15"/>
      <c r="T20" s="46"/>
      <c r="U20" s="15"/>
      <c r="V20" s="46"/>
      <c r="W20" s="15"/>
      <c r="X20" s="46"/>
      <c r="Y20" s="15"/>
      <c r="AA20" s="111"/>
      <c r="AB20" s="14"/>
      <c r="AC20" s="14"/>
      <c r="AD20" s="14"/>
      <c r="AE20" s="14"/>
      <c r="AF20" s="14"/>
      <c r="AG20" s="14"/>
      <c r="AH20" s="15"/>
      <c r="AI20" s="119"/>
      <c r="AJ20" s="111"/>
      <c r="AK20" s="14"/>
      <c r="AL20" s="14"/>
      <c r="AM20" s="14"/>
      <c r="AN20" s="14"/>
      <c r="AO20" s="14"/>
      <c r="AP20" s="14"/>
      <c r="AQ20" s="15"/>
      <c r="AR20" s="119"/>
      <c r="AS20" s="111"/>
      <c r="AT20" s="14"/>
      <c r="AU20" s="14"/>
      <c r="AV20" s="14"/>
      <c r="AW20" s="14"/>
      <c r="AX20" s="14"/>
      <c r="AY20" s="14"/>
      <c r="AZ20" s="15"/>
      <c r="BB20" s="21"/>
      <c r="BC20" s="22"/>
      <c r="BD20" s="22"/>
      <c r="BE20" s="22"/>
      <c r="BF20" s="22"/>
      <c r="BG20" s="22"/>
      <c r="BH20" s="22"/>
      <c r="BI20" s="22"/>
      <c r="BJ20" s="22"/>
      <c r="BK20" s="22"/>
      <c r="BL20" s="23"/>
    </row>
    <row r="21">
      <c r="B21" s="21"/>
      <c r="C21" s="22"/>
      <c r="D21" s="22"/>
      <c r="E21" s="22"/>
      <c r="F21" s="23"/>
      <c r="G21" s="21"/>
      <c r="H21" s="22"/>
      <c r="I21" s="22"/>
      <c r="J21" s="22"/>
      <c r="K21" s="23"/>
      <c r="L21" s="42"/>
      <c r="N21" s="45"/>
      <c r="O21" s="14"/>
      <c r="P21" s="14"/>
      <c r="Q21" s="14"/>
      <c r="R21" s="14"/>
      <c r="S21" s="15"/>
      <c r="T21" s="46"/>
      <c r="U21" s="15"/>
      <c r="V21" s="46"/>
      <c r="W21" s="15"/>
      <c r="X21" s="46"/>
      <c r="Y21" s="15"/>
      <c r="AA21" s="111"/>
      <c r="AB21" s="14"/>
      <c r="AC21" s="14"/>
      <c r="AD21" s="14"/>
      <c r="AE21" s="14"/>
      <c r="AF21" s="14"/>
      <c r="AG21" s="14"/>
      <c r="AH21" s="15"/>
      <c r="AI21" s="119"/>
      <c r="AJ21" s="111"/>
      <c r="AK21" s="14"/>
      <c r="AL21" s="14"/>
      <c r="AM21" s="14"/>
      <c r="AN21" s="14"/>
      <c r="AO21" s="14"/>
      <c r="AP21" s="14"/>
      <c r="AQ21" s="15"/>
      <c r="AR21" s="119"/>
      <c r="AS21" s="111"/>
      <c r="AT21" s="14"/>
      <c r="AU21" s="14"/>
      <c r="AV21" s="14"/>
      <c r="AW21" s="14"/>
      <c r="AX21" s="14"/>
      <c r="AY21" s="14"/>
      <c r="AZ21" s="15"/>
      <c r="BB21" s="13" t="s">
        <v>187</v>
      </c>
      <c r="BC21" s="14"/>
      <c r="BD21" s="14"/>
      <c r="BE21" s="14"/>
      <c r="BF21" s="14"/>
      <c r="BG21" s="14"/>
      <c r="BH21" s="14"/>
      <c r="BI21" s="14"/>
      <c r="BJ21" s="14"/>
      <c r="BK21" s="14"/>
      <c r="BL21" s="15"/>
    </row>
    <row r="22">
      <c r="B22" s="112" t="s">
        <v>210</v>
      </c>
      <c r="C22" s="14"/>
      <c r="D22" s="14"/>
      <c r="E22" s="14"/>
      <c r="F22" s="15"/>
      <c r="G22" s="123"/>
      <c r="H22" s="112" t="s">
        <v>211</v>
      </c>
      <c r="I22" s="14"/>
      <c r="J22" s="14"/>
      <c r="K22" s="14"/>
      <c r="L22" s="15"/>
      <c r="N22" s="45"/>
      <c r="O22" s="14"/>
      <c r="P22" s="14"/>
      <c r="Q22" s="14"/>
      <c r="R22" s="14"/>
      <c r="S22" s="15"/>
      <c r="T22" s="46"/>
      <c r="U22" s="15"/>
      <c r="V22" s="46"/>
      <c r="W22" s="15"/>
      <c r="X22" s="46"/>
      <c r="Y22" s="15"/>
      <c r="AA22" s="111"/>
      <c r="AB22" s="14"/>
      <c r="AC22" s="14"/>
      <c r="AD22" s="14"/>
      <c r="AE22" s="14"/>
      <c r="AF22" s="14"/>
      <c r="AG22" s="14"/>
      <c r="AH22" s="15"/>
      <c r="AI22" s="119"/>
      <c r="AJ22" s="111"/>
      <c r="AK22" s="14"/>
      <c r="AL22" s="14"/>
      <c r="AM22" s="14"/>
      <c r="AN22" s="14"/>
      <c r="AO22" s="14"/>
      <c r="AP22" s="14"/>
      <c r="AQ22" s="15"/>
      <c r="AR22" s="119"/>
      <c r="AS22" s="111"/>
      <c r="AT22" s="14"/>
      <c r="AU22" s="14"/>
      <c r="AV22" s="14"/>
      <c r="AW22" s="14"/>
      <c r="AX22" s="14"/>
      <c r="AY22" s="14"/>
      <c r="AZ22" s="15"/>
      <c r="BB22" s="24"/>
      <c r="BC22" s="8"/>
      <c r="BD22" s="8"/>
      <c r="BE22" s="8"/>
      <c r="BF22" s="8"/>
      <c r="BG22" s="8"/>
      <c r="BH22" s="8"/>
      <c r="BI22" s="8"/>
      <c r="BJ22" s="8"/>
      <c r="BK22" s="8"/>
      <c r="BL22" s="9"/>
    </row>
    <row r="23">
      <c r="B23" s="124"/>
      <c r="C23" s="125" t="s">
        <v>37</v>
      </c>
      <c r="D23" s="14"/>
      <c r="E23" s="15"/>
      <c r="F23" s="123"/>
      <c r="G23" s="42"/>
      <c r="H23" s="126"/>
      <c r="I23" s="125" t="s">
        <v>37</v>
      </c>
      <c r="J23" s="14"/>
      <c r="K23" s="15"/>
      <c r="L23" s="126"/>
      <c r="N23" s="45"/>
      <c r="O23" s="14"/>
      <c r="P23" s="14"/>
      <c r="Q23" s="14"/>
      <c r="R23" s="14"/>
      <c r="S23" s="15"/>
      <c r="T23" s="46"/>
      <c r="U23" s="15"/>
      <c r="V23" s="46"/>
      <c r="W23" s="15"/>
      <c r="X23" s="46"/>
      <c r="Y23" s="15"/>
      <c r="AA23" s="111"/>
      <c r="AB23" s="14"/>
      <c r="AC23" s="14"/>
      <c r="AD23" s="14"/>
      <c r="AE23" s="14"/>
      <c r="AF23" s="14"/>
      <c r="AG23" s="14"/>
      <c r="AH23" s="15"/>
      <c r="AI23" s="119"/>
      <c r="AJ23" s="111"/>
      <c r="AK23" s="14"/>
      <c r="AL23" s="14"/>
      <c r="AM23" s="14"/>
      <c r="AN23" s="14"/>
      <c r="AO23" s="14"/>
      <c r="AP23" s="14"/>
      <c r="AQ23" s="15"/>
      <c r="AR23" s="119"/>
      <c r="AS23" s="111"/>
      <c r="AT23" s="14"/>
      <c r="AU23" s="14"/>
      <c r="AV23" s="14"/>
      <c r="AW23" s="14"/>
      <c r="AX23" s="14"/>
      <c r="AY23" s="14"/>
      <c r="AZ23" s="15"/>
      <c r="BB23" s="21"/>
      <c r="BC23" s="22"/>
      <c r="BD23" s="22"/>
      <c r="BE23" s="22"/>
      <c r="BF23" s="22"/>
      <c r="BG23" s="22"/>
      <c r="BH23" s="22"/>
      <c r="BI23" s="22"/>
      <c r="BJ23" s="22"/>
      <c r="BK23" s="22"/>
      <c r="BL23" s="23"/>
    </row>
    <row r="24">
      <c r="B24" s="124"/>
      <c r="C24" s="127">
        <f>10+SWITCH(E28, "F", For, "D", Des, "C", Con, "I", Int, "S", Sab, "P", Pre, 0)+E29+E30+'Ficha Pessoal'!BH3</f>
        <v>19</v>
      </c>
      <c r="D24" s="8"/>
      <c r="E24" s="9"/>
      <c r="F24" s="123"/>
      <c r="G24" s="42"/>
      <c r="H24" s="119"/>
      <c r="I24" s="127">
        <f>10+SWITCH(K28, "F", For, "D", Des, "C", Con, "I", Int, "S", Sab, "P", Pre, 0)+K29+K30+'Ficha Pessoal'!BH3</f>
        <v>19</v>
      </c>
      <c r="J24" s="8"/>
      <c r="K24" s="9"/>
      <c r="L24" s="119"/>
      <c r="N24" s="45"/>
      <c r="O24" s="14"/>
      <c r="P24" s="14"/>
      <c r="Q24" s="14"/>
      <c r="R24" s="14"/>
      <c r="S24" s="15"/>
      <c r="T24" s="46"/>
      <c r="U24" s="15"/>
      <c r="V24" s="46"/>
      <c r="W24" s="15"/>
      <c r="X24" s="46"/>
      <c r="Y24" s="15"/>
      <c r="AA24" s="111"/>
      <c r="AB24" s="14"/>
      <c r="AC24" s="14"/>
      <c r="AD24" s="14"/>
      <c r="AE24" s="14"/>
      <c r="AF24" s="14"/>
      <c r="AG24" s="14"/>
      <c r="AH24" s="15"/>
      <c r="AI24" s="119"/>
      <c r="AJ24" s="111"/>
      <c r="AK24" s="14"/>
      <c r="AL24" s="14"/>
      <c r="AM24" s="14"/>
      <c r="AN24" s="14"/>
      <c r="AO24" s="14"/>
      <c r="AP24" s="14"/>
      <c r="AQ24" s="15"/>
      <c r="AR24" s="119"/>
      <c r="AS24" s="111"/>
      <c r="AT24" s="14"/>
      <c r="AU24" s="14"/>
      <c r="AV24" s="14"/>
      <c r="AW24" s="14"/>
      <c r="AX24" s="14"/>
      <c r="AY24" s="14"/>
      <c r="AZ24" s="15"/>
      <c r="BB24" s="13" t="s">
        <v>212</v>
      </c>
      <c r="BC24" s="14"/>
      <c r="BD24" s="14"/>
      <c r="BE24" s="14"/>
      <c r="BF24" s="14"/>
      <c r="BG24" s="14"/>
      <c r="BH24" s="14"/>
      <c r="BI24" s="14"/>
      <c r="BJ24" s="14"/>
      <c r="BK24" s="14"/>
      <c r="BL24" s="15"/>
    </row>
    <row r="25">
      <c r="B25" s="124"/>
      <c r="C25" s="41"/>
      <c r="E25" s="42"/>
      <c r="F25" s="123"/>
      <c r="G25" s="42"/>
      <c r="H25" s="119"/>
      <c r="I25" s="41"/>
      <c r="K25" s="42"/>
      <c r="L25" s="119"/>
      <c r="N25" s="45"/>
      <c r="O25" s="14"/>
      <c r="P25" s="14"/>
      <c r="Q25" s="14"/>
      <c r="R25" s="14"/>
      <c r="S25" s="15"/>
      <c r="T25" s="46"/>
      <c r="U25" s="15"/>
      <c r="V25" s="46"/>
      <c r="W25" s="15"/>
      <c r="X25" s="46"/>
      <c r="Y25" s="15"/>
      <c r="AA25" s="111"/>
      <c r="AB25" s="14"/>
      <c r="AC25" s="14"/>
      <c r="AD25" s="14"/>
      <c r="AE25" s="14"/>
      <c r="AF25" s="14"/>
      <c r="AG25" s="14"/>
      <c r="AH25" s="15"/>
      <c r="AI25" s="119"/>
      <c r="AJ25" s="111"/>
      <c r="AK25" s="14"/>
      <c r="AL25" s="14"/>
      <c r="AM25" s="14"/>
      <c r="AN25" s="14"/>
      <c r="AO25" s="14"/>
      <c r="AP25" s="14"/>
      <c r="AQ25" s="15"/>
      <c r="AR25" s="119"/>
      <c r="AS25" s="111"/>
      <c r="AT25" s="14"/>
      <c r="AU25" s="14"/>
      <c r="AV25" s="14"/>
      <c r="AW25" s="14"/>
      <c r="AX25" s="14"/>
      <c r="AY25" s="14"/>
      <c r="AZ25" s="15"/>
      <c r="BB25" s="120"/>
      <c r="BC25" s="8"/>
      <c r="BD25" s="8"/>
      <c r="BE25" s="8"/>
      <c r="BF25" s="8"/>
      <c r="BG25" s="8"/>
      <c r="BH25" s="8"/>
      <c r="BI25" s="8"/>
      <c r="BJ25" s="8"/>
      <c r="BK25" s="8"/>
      <c r="BL25" s="9"/>
    </row>
    <row r="26">
      <c r="B26" s="124"/>
      <c r="C26" s="41"/>
      <c r="E26" s="42"/>
      <c r="F26" s="123"/>
      <c r="G26" s="123"/>
      <c r="H26" s="119"/>
      <c r="I26" s="41"/>
      <c r="K26" s="42"/>
      <c r="L26" s="119"/>
      <c r="N26" s="45"/>
      <c r="O26" s="14"/>
      <c r="P26" s="14"/>
      <c r="Q26" s="14"/>
      <c r="R26" s="14"/>
      <c r="S26" s="15"/>
      <c r="T26" s="46"/>
      <c r="U26" s="15"/>
      <c r="V26" s="46"/>
      <c r="W26" s="15"/>
      <c r="X26" s="46"/>
      <c r="Y26" s="15"/>
      <c r="AA26" s="111"/>
      <c r="AB26" s="14"/>
      <c r="AC26" s="14"/>
      <c r="AD26" s="14"/>
      <c r="AE26" s="14"/>
      <c r="AF26" s="14"/>
      <c r="AG26" s="14"/>
      <c r="AH26" s="15"/>
      <c r="AI26" s="119"/>
      <c r="AJ26" s="111"/>
      <c r="AK26" s="14"/>
      <c r="AL26" s="14"/>
      <c r="AM26" s="14"/>
      <c r="AN26" s="14"/>
      <c r="AO26" s="14"/>
      <c r="AP26" s="14"/>
      <c r="AQ26" s="15"/>
      <c r="AR26" s="119"/>
      <c r="AS26" s="111"/>
      <c r="AT26" s="14"/>
      <c r="AU26" s="14"/>
      <c r="AV26" s="14"/>
      <c r="AW26" s="14"/>
      <c r="AX26" s="14"/>
      <c r="AY26" s="14"/>
      <c r="AZ26" s="15"/>
      <c r="BB26" s="41"/>
      <c r="BL26" s="42"/>
    </row>
    <row r="27">
      <c r="B27" s="124"/>
      <c r="C27" s="21"/>
      <c r="D27" s="22"/>
      <c r="E27" s="23"/>
      <c r="F27" s="123"/>
      <c r="G27" s="42"/>
      <c r="H27" s="126"/>
      <c r="I27" s="21"/>
      <c r="J27" s="22"/>
      <c r="K27" s="23"/>
      <c r="L27" s="119"/>
      <c r="N27" s="45"/>
      <c r="O27" s="14"/>
      <c r="P27" s="14"/>
      <c r="Q27" s="14"/>
      <c r="R27" s="14"/>
      <c r="S27" s="15"/>
      <c r="T27" s="46"/>
      <c r="U27" s="15"/>
      <c r="V27" s="46"/>
      <c r="W27" s="15"/>
      <c r="X27" s="46"/>
      <c r="Y27" s="15"/>
      <c r="AA27" s="111"/>
      <c r="AB27" s="14"/>
      <c r="AC27" s="14"/>
      <c r="AD27" s="14"/>
      <c r="AE27" s="14"/>
      <c r="AF27" s="14"/>
      <c r="AG27" s="14"/>
      <c r="AH27" s="15"/>
      <c r="AI27" s="119"/>
      <c r="AJ27" s="111"/>
      <c r="AK27" s="14"/>
      <c r="AL27" s="14"/>
      <c r="AM27" s="14"/>
      <c r="AN27" s="14"/>
      <c r="AO27" s="14"/>
      <c r="AP27" s="14"/>
      <c r="AQ27" s="15"/>
      <c r="AR27" s="119"/>
      <c r="AS27" s="111"/>
      <c r="AT27" s="14"/>
      <c r="AU27" s="14"/>
      <c r="AV27" s="14"/>
      <c r="AW27" s="14"/>
      <c r="AX27" s="14"/>
      <c r="AY27" s="14"/>
      <c r="AZ27" s="15"/>
      <c r="BB27" s="41"/>
      <c r="BL27" s="42"/>
    </row>
    <row r="28">
      <c r="B28" s="124"/>
      <c r="C28" s="128" t="s">
        <v>81</v>
      </c>
      <c r="D28" s="15"/>
      <c r="E28" s="129" t="s">
        <v>82</v>
      </c>
      <c r="F28" s="123"/>
      <c r="G28" s="42"/>
      <c r="H28" s="119"/>
      <c r="I28" s="128" t="s">
        <v>81</v>
      </c>
      <c r="J28" s="15"/>
      <c r="K28" s="129" t="s">
        <v>82</v>
      </c>
      <c r="L28" s="119"/>
      <c r="N28" s="45"/>
      <c r="O28" s="14"/>
      <c r="P28" s="14"/>
      <c r="Q28" s="14"/>
      <c r="R28" s="14"/>
      <c r="S28" s="15"/>
      <c r="T28" s="46"/>
      <c r="U28" s="15"/>
      <c r="V28" s="46"/>
      <c r="W28" s="15"/>
      <c r="X28" s="46"/>
      <c r="Y28" s="15"/>
      <c r="AA28" s="111"/>
      <c r="AB28" s="14"/>
      <c r="AC28" s="14"/>
      <c r="AD28" s="14"/>
      <c r="AE28" s="14"/>
      <c r="AF28" s="14"/>
      <c r="AG28" s="14"/>
      <c r="AH28" s="15"/>
      <c r="AI28" s="3"/>
      <c r="AJ28" s="111"/>
      <c r="AK28" s="14"/>
      <c r="AL28" s="14"/>
      <c r="AM28" s="14"/>
      <c r="AN28" s="14"/>
      <c r="AO28" s="14"/>
      <c r="AP28" s="14"/>
      <c r="AQ28" s="15"/>
      <c r="AR28" s="3"/>
      <c r="AS28" s="111"/>
      <c r="AT28" s="14"/>
      <c r="AU28" s="14"/>
      <c r="AV28" s="14"/>
      <c r="AW28" s="14"/>
      <c r="AX28" s="14"/>
      <c r="AY28" s="14"/>
      <c r="AZ28" s="15"/>
      <c r="BB28" s="41"/>
      <c r="BL28" s="42"/>
    </row>
    <row r="29">
      <c r="B29" s="124"/>
      <c r="C29" s="128" t="s">
        <v>58</v>
      </c>
      <c r="D29" s="15"/>
      <c r="E29" s="104">
        <f>ROUNDDOWN('Ficha Pessoal'!BD3/2,0)</f>
        <v>2</v>
      </c>
      <c r="F29" s="123"/>
      <c r="G29" s="42"/>
      <c r="H29" s="119"/>
      <c r="I29" s="128" t="s">
        <v>58</v>
      </c>
      <c r="J29" s="15"/>
      <c r="K29" s="104">
        <f>ROUNDDOWN('Ficha Pessoal'!BD3/2,0)</f>
        <v>2</v>
      </c>
      <c r="L29" s="119"/>
      <c r="N29" s="45"/>
      <c r="O29" s="14"/>
      <c r="P29" s="14"/>
      <c r="Q29" s="14"/>
      <c r="R29" s="14"/>
      <c r="S29" s="15"/>
      <c r="T29" s="46"/>
      <c r="U29" s="15"/>
      <c r="V29" s="46"/>
      <c r="W29" s="15"/>
      <c r="X29" s="46"/>
      <c r="Y29" s="15"/>
      <c r="AA29" s="117"/>
      <c r="BB29" s="21"/>
      <c r="BC29" s="22"/>
      <c r="BD29" s="22"/>
      <c r="BE29" s="22"/>
      <c r="BF29" s="22"/>
      <c r="BG29" s="22"/>
      <c r="BH29" s="22"/>
      <c r="BI29" s="22"/>
      <c r="BJ29" s="22"/>
      <c r="BK29" s="22"/>
      <c r="BL29" s="23"/>
    </row>
    <row r="30">
      <c r="B30" s="124"/>
      <c r="C30" s="130" t="s">
        <v>60</v>
      </c>
      <c r="D30" s="9"/>
      <c r="E30" s="131">
        <v>0.0</v>
      </c>
      <c r="F30" s="123"/>
      <c r="G30" s="123"/>
      <c r="H30" s="3"/>
      <c r="I30" s="128" t="s">
        <v>60</v>
      </c>
      <c r="J30" s="15"/>
      <c r="K30" s="16">
        <v>0.0</v>
      </c>
      <c r="L30" s="119"/>
      <c r="N30" s="45"/>
      <c r="O30" s="14"/>
      <c r="P30" s="14"/>
      <c r="Q30" s="14"/>
      <c r="R30" s="14"/>
      <c r="S30" s="15"/>
      <c r="T30" s="46"/>
      <c r="U30" s="15"/>
      <c r="V30" s="46"/>
      <c r="W30" s="15"/>
      <c r="X30" s="46"/>
      <c r="Y30" s="15"/>
      <c r="AA30" s="30" t="s">
        <v>213</v>
      </c>
      <c r="AB30" s="8"/>
      <c r="AC30" s="8"/>
      <c r="AD30" s="8"/>
      <c r="AE30" s="8"/>
      <c r="AF30" s="8"/>
      <c r="AG30" s="8"/>
      <c r="AH30" s="8"/>
      <c r="AI30" s="8"/>
      <c r="AJ30" s="8"/>
      <c r="AK30" s="8"/>
      <c r="AL30" s="8"/>
      <c r="AM30" s="8"/>
      <c r="AN30" s="8"/>
      <c r="AO30" s="8"/>
      <c r="AP30" s="8"/>
      <c r="AQ30" s="8"/>
      <c r="AR30" s="8"/>
      <c r="AS30" s="8"/>
      <c r="AT30" s="8"/>
      <c r="AU30" s="8"/>
      <c r="AV30" s="8"/>
      <c r="AW30" s="8"/>
      <c r="AX30" s="8"/>
      <c r="AY30" s="8"/>
      <c r="AZ30" s="9"/>
      <c r="BB30" s="117"/>
      <c r="BC30" s="117"/>
      <c r="BD30" s="117"/>
      <c r="BE30" s="29"/>
      <c r="BF30" s="29"/>
      <c r="BG30" s="29"/>
      <c r="BH30" s="29"/>
      <c r="BI30" s="29"/>
      <c r="BJ30" s="117"/>
      <c r="BK30" s="117"/>
      <c r="BL30" s="117"/>
    </row>
    <row r="31">
      <c r="B31" s="132"/>
      <c r="C31" s="133"/>
      <c r="D31" s="22"/>
      <c r="E31" s="22"/>
      <c r="F31" s="134"/>
      <c r="G31" s="123"/>
      <c r="H31" s="132"/>
      <c r="I31" s="22"/>
      <c r="J31" s="22"/>
      <c r="K31" s="22"/>
      <c r="L31" s="3"/>
      <c r="N31" s="45"/>
      <c r="O31" s="14"/>
      <c r="P31" s="14"/>
      <c r="Q31" s="14"/>
      <c r="R31" s="14"/>
      <c r="S31" s="15"/>
      <c r="T31" s="46"/>
      <c r="U31" s="15"/>
      <c r="V31" s="46"/>
      <c r="W31" s="15"/>
      <c r="X31" s="46"/>
      <c r="Y31" s="15"/>
      <c r="AA31" s="21"/>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3"/>
      <c r="BB31" s="117"/>
      <c r="BC31" s="117"/>
      <c r="BD31" s="117"/>
      <c r="BE31" s="29"/>
      <c r="BF31" s="29"/>
      <c r="BG31" s="29"/>
      <c r="BH31" s="29"/>
      <c r="BI31" s="29"/>
      <c r="BJ31" s="117"/>
      <c r="BK31" s="117"/>
      <c r="BL31" s="117"/>
    </row>
    <row r="32">
      <c r="B32" s="117"/>
      <c r="C32" s="117"/>
      <c r="D32" s="117"/>
      <c r="E32" s="117"/>
      <c r="F32" s="117"/>
      <c r="G32" s="117"/>
      <c r="H32" s="117"/>
      <c r="I32" s="117"/>
      <c r="J32" s="117"/>
      <c r="K32" s="117"/>
      <c r="L32" s="117"/>
      <c r="N32" s="45"/>
      <c r="O32" s="14"/>
      <c r="P32" s="14"/>
      <c r="Q32" s="14"/>
      <c r="R32" s="14"/>
      <c r="S32" s="15"/>
      <c r="T32" s="46"/>
      <c r="U32" s="15"/>
      <c r="V32" s="46"/>
      <c r="W32" s="15"/>
      <c r="X32" s="46"/>
      <c r="Y32" s="15"/>
      <c r="AA32" s="118"/>
      <c r="AB32" s="135">
        <v>0.0</v>
      </c>
      <c r="AC32" s="8"/>
      <c r="AD32" s="8"/>
      <c r="AE32" s="9"/>
      <c r="AF32" s="136"/>
      <c r="AG32" s="137">
        <v>1.0</v>
      </c>
      <c r="AH32" s="8"/>
      <c r="AI32" s="8"/>
      <c r="AJ32" s="9"/>
      <c r="AK32" s="136"/>
      <c r="AL32" s="137">
        <v>1.0</v>
      </c>
      <c r="AM32" s="8"/>
      <c r="AN32" s="8"/>
      <c r="AO32" s="9"/>
      <c r="AP32" s="118"/>
      <c r="AQ32" s="135">
        <v>0.0</v>
      </c>
      <c r="AR32" s="8"/>
      <c r="AS32" s="8"/>
      <c r="AT32" s="9"/>
      <c r="AU32" s="118"/>
      <c r="AV32" s="135">
        <v>0.0</v>
      </c>
      <c r="AW32" s="8"/>
      <c r="AX32" s="8"/>
      <c r="AY32" s="9"/>
      <c r="AZ32" s="118"/>
      <c r="BB32" s="117"/>
      <c r="BC32" s="117"/>
      <c r="BD32" s="117"/>
      <c r="BE32" s="29"/>
      <c r="BF32" s="29"/>
      <c r="BG32" s="29"/>
      <c r="BH32" s="29"/>
      <c r="BI32" s="29"/>
      <c r="BJ32" s="117"/>
      <c r="BK32" s="117"/>
      <c r="BL32" s="117"/>
    </row>
    <row r="33">
      <c r="B33" s="117"/>
      <c r="C33" s="117"/>
      <c r="D33" s="117"/>
      <c r="E33" s="117"/>
      <c r="F33" s="117"/>
      <c r="G33" s="117"/>
      <c r="H33" s="117"/>
      <c r="I33" s="117"/>
      <c r="J33" s="117"/>
      <c r="K33" s="117"/>
      <c r="L33" s="117"/>
      <c r="N33" s="45"/>
      <c r="O33" s="14"/>
      <c r="P33" s="14"/>
      <c r="Q33" s="14"/>
      <c r="R33" s="14"/>
      <c r="S33" s="15"/>
      <c r="T33" s="46"/>
      <c r="U33" s="15"/>
      <c r="V33" s="46"/>
      <c r="W33" s="15"/>
      <c r="X33" s="46"/>
      <c r="Y33" s="15"/>
      <c r="AA33" s="119"/>
      <c r="AB33" s="41"/>
      <c r="AE33" s="42"/>
      <c r="AF33" s="119"/>
      <c r="AG33" s="41"/>
      <c r="AJ33" s="42"/>
      <c r="AK33" s="119"/>
      <c r="AL33" s="41"/>
      <c r="AO33" s="42"/>
      <c r="AP33" s="119"/>
      <c r="AQ33" s="41"/>
      <c r="AT33" s="42"/>
      <c r="AU33" s="119"/>
      <c r="AV33" s="41"/>
      <c r="AY33" s="42"/>
      <c r="AZ33" s="119"/>
      <c r="BB33" s="117"/>
      <c r="BC33" s="117"/>
      <c r="BD33" s="117"/>
      <c r="BE33" s="29"/>
      <c r="BF33" s="29"/>
      <c r="BG33" s="29"/>
      <c r="BH33" s="29"/>
      <c r="BI33" s="29"/>
      <c r="BJ33" s="117"/>
      <c r="BK33" s="117"/>
      <c r="BL33" s="117"/>
    </row>
    <row r="34">
      <c r="B34" s="117"/>
      <c r="C34" s="117"/>
      <c r="D34" s="117"/>
      <c r="E34" s="117"/>
      <c r="F34" s="117"/>
      <c r="G34" s="117"/>
      <c r="H34" s="117"/>
      <c r="I34" s="117"/>
      <c r="J34" s="117"/>
      <c r="K34" s="117"/>
      <c r="L34" s="117"/>
      <c r="N34" s="45"/>
      <c r="O34" s="14"/>
      <c r="P34" s="14"/>
      <c r="Q34" s="14"/>
      <c r="R34" s="14"/>
      <c r="S34" s="15"/>
      <c r="T34" s="46"/>
      <c r="U34" s="15"/>
      <c r="V34" s="46"/>
      <c r="W34" s="15"/>
      <c r="X34" s="46"/>
      <c r="Y34" s="15"/>
      <c r="AA34" s="119"/>
      <c r="AB34" s="21"/>
      <c r="AC34" s="22"/>
      <c r="AD34" s="22"/>
      <c r="AE34" s="23"/>
      <c r="AF34" s="119"/>
      <c r="AG34" s="21"/>
      <c r="AH34" s="22"/>
      <c r="AI34" s="22"/>
      <c r="AJ34" s="23"/>
      <c r="AK34" s="119"/>
      <c r="AL34" s="21"/>
      <c r="AM34" s="22"/>
      <c r="AN34" s="22"/>
      <c r="AO34" s="23"/>
      <c r="AP34" s="119"/>
      <c r="AQ34" s="21"/>
      <c r="AR34" s="22"/>
      <c r="AS34" s="22"/>
      <c r="AT34" s="23"/>
      <c r="AU34" s="119"/>
      <c r="AV34" s="21"/>
      <c r="AW34" s="22"/>
      <c r="AX34" s="22"/>
      <c r="AY34" s="23"/>
      <c r="AZ34" s="119"/>
      <c r="BB34" s="117"/>
      <c r="BC34" s="117"/>
      <c r="BD34" s="117"/>
      <c r="BE34" s="29"/>
      <c r="BF34" s="29"/>
      <c r="BG34" s="29"/>
      <c r="BH34" s="29"/>
      <c r="BI34" s="29"/>
      <c r="BJ34" s="117"/>
      <c r="BK34" s="117"/>
      <c r="BL34" s="117"/>
    </row>
    <row r="35">
      <c r="B35" s="117"/>
      <c r="C35" s="117"/>
      <c r="D35" s="117"/>
      <c r="E35" s="117"/>
      <c r="F35" s="117"/>
      <c r="G35" s="117"/>
      <c r="H35" s="117"/>
      <c r="I35" s="117"/>
      <c r="J35" s="117"/>
      <c r="K35" s="117"/>
      <c r="L35" s="117"/>
      <c r="N35" s="117"/>
      <c r="AA35" s="119"/>
      <c r="AB35" s="138" t="s">
        <v>214</v>
      </c>
      <c r="AC35" s="8"/>
      <c r="AD35" s="8"/>
      <c r="AE35" s="9"/>
      <c r="AF35" s="119"/>
      <c r="AG35" s="139" t="s">
        <v>215</v>
      </c>
      <c r="AH35" s="8"/>
      <c r="AI35" s="8"/>
      <c r="AJ35" s="9"/>
      <c r="AK35" s="119"/>
      <c r="AL35" s="139" t="s">
        <v>216</v>
      </c>
      <c r="AM35" s="8"/>
      <c r="AN35" s="8"/>
      <c r="AO35" s="9"/>
      <c r="AP35" s="119"/>
      <c r="AQ35" s="140" t="s">
        <v>217</v>
      </c>
      <c r="AR35" s="8"/>
      <c r="AS35" s="8"/>
      <c r="AT35" s="9"/>
      <c r="AU35" s="119"/>
      <c r="AV35" s="140" t="s">
        <v>218</v>
      </c>
      <c r="AW35" s="8"/>
      <c r="AX35" s="8"/>
      <c r="AY35" s="9"/>
      <c r="AZ35" s="119"/>
      <c r="BB35" s="117"/>
      <c r="BC35" s="117"/>
      <c r="BD35" s="117"/>
      <c r="BE35" s="29"/>
      <c r="BF35" s="29"/>
      <c r="BG35" s="29"/>
      <c r="BH35" s="29"/>
      <c r="BI35" s="29"/>
      <c r="BJ35" s="117"/>
      <c r="BK35" s="117"/>
      <c r="BL35" s="117"/>
    </row>
    <row r="36">
      <c r="B36" s="117"/>
      <c r="C36" s="117"/>
      <c r="D36" s="117"/>
      <c r="E36" s="117"/>
      <c r="F36" s="117"/>
      <c r="G36" s="117"/>
      <c r="H36" s="117"/>
      <c r="I36" s="117"/>
      <c r="J36" s="117"/>
      <c r="K36" s="117"/>
      <c r="L36" s="117"/>
      <c r="AA36" s="3"/>
      <c r="AB36" s="21"/>
      <c r="AC36" s="22"/>
      <c r="AD36" s="22"/>
      <c r="AE36" s="23"/>
      <c r="AF36" s="3"/>
      <c r="AG36" s="21"/>
      <c r="AH36" s="22"/>
      <c r="AI36" s="22"/>
      <c r="AJ36" s="23"/>
      <c r="AK36" s="3"/>
      <c r="AL36" s="21"/>
      <c r="AM36" s="22"/>
      <c r="AN36" s="22"/>
      <c r="AO36" s="23"/>
      <c r="AP36" s="3"/>
      <c r="AQ36" s="21"/>
      <c r="AR36" s="22"/>
      <c r="AS36" s="22"/>
      <c r="AT36" s="23"/>
      <c r="AU36" s="3"/>
      <c r="AV36" s="21"/>
      <c r="AW36" s="22"/>
      <c r="AX36" s="22"/>
      <c r="AY36" s="23"/>
      <c r="AZ36" s="3"/>
      <c r="BB36" s="117"/>
      <c r="BC36" s="117"/>
      <c r="BD36" s="117"/>
      <c r="BE36" s="29"/>
      <c r="BF36" s="29"/>
      <c r="BG36" s="29"/>
      <c r="BH36" s="29"/>
      <c r="BI36" s="29"/>
      <c r="BJ36" s="117"/>
      <c r="BK36" s="117"/>
      <c r="BL36" s="117"/>
    </row>
    <row r="37">
      <c r="B37" s="117"/>
      <c r="C37" s="117"/>
      <c r="D37" s="117"/>
      <c r="E37" s="117"/>
      <c r="F37" s="117"/>
      <c r="G37" s="117"/>
      <c r="H37" s="117"/>
      <c r="I37" s="117"/>
      <c r="J37" s="117"/>
      <c r="K37" s="117"/>
      <c r="L37" s="117"/>
      <c r="AA37" s="117"/>
      <c r="BB37" s="117"/>
      <c r="BC37" s="117"/>
      <c r="BD37" s="117"/>
      <c r="BE37" s="29"/>
      <c r="BF37" s="29"/>
      <c r="BG37" s="29"/>
      <c r="BH37" s="29"/>
      <c r="BI37" s="29"/>
      <c r="BJ37" s="117"/>
      <c r="BK37" s="117"/>
      <c r="BL37" s="117"/>
    </row>
    <row r="38">
      <c r="B38" s="117"/>
      <c r="C38" s="117"/>
      <c r="D38" s="117"/>
      <c r="E38" s="117"/>
      <c r="F38" s="117"/>
      <c r="G38" s="117"/>
      <c r="H38" s="117"/>
      <c r="I38" s="117"/>
      <c r="J38" s="117"/>
      <c r="K38" s="117"/>
      <c r="L38" s="117"/>
      <c r="BB38" s="117"/>
      <c r="BC38" s="117"/>
      <c r="BD38" s="117"/>
      <c r="BE38" s="29"/>
      <c r="BF38" s="29"/>
      <c r="BG38" s="29"/>
      <c r="BH38" s="29"/>
      <c r="BI38" s="29"/>
      <c r="BJ38" s="117"/>
      <c r="BK38" s="117"/>
      <c r="BL38" s="117"/>
    </row>
    <row r="39">
      <c r="B39" s="114"/>
      <c r="BC39" s="114"/>
      <c r="BD39" s="114"/>
      <c r="BJ39" s="114"/>
      <c r="BK39" s="114"/>
      <c r="BL39" s="114"/>
    </row>
  </sheetData>
  <mergeCells count="252">
    <mergeCell ref="AA23:AH23"/>
    <mergeCell ref="AJ23:AQ23"/>
    <mergeCell ref="C23:E23"/>
    <mergeCell ref="C24:E27"/>
    <mergeCell ref="I24:K27"/>
    <mergeCell ref="N24:S24"/>
    <mergeCell ref="N25:S25"/>
    <mergeCell ref="T24:U24"/>
    <mergeCell ref="V24:W24"/>
    <mergeCell ref="X24:Y24"/>
    <mergeCell ref="AA24:AH24"/>
    <mergeCell ref="AS23:AZ23"/>
    <mergeCell ref="AS24:AZ24"/>
    <mergeCell ref="AJ24:AQ24"/>
    <mergeCell ref="T25:U25"/>
    <mergeCell ref="T27:U27"/>
    <mergeCell ref="V27:W27"/>
    <mergeCell ref="N23:S23"/>
    <mergeCell ref="T23:U23"/>
    <mergeCell ref="N26:S26"/>
    <mergeCell ref="T26:U26"/>
    <mergeCell ref="V26:W26"/>
    <mergeCell ref="X26:Y26"/>
    <mergeCell ref="N27:S27"/>
    <mergeCell ref="X27:Y27"/>
    <mergeCell ref="AA27:AH27"/>
    <mergeCell ref="AJ27:AQ27"/>
    <mergeCell ref="AS27:AZ27"/>
    <mergeCell ref="C28:D28"/>
    <mergeCell ref="I28:J28"/>
    <mergeCell ref="N28:S28"/>
    <mergeCell ref="T28:U28"/>
    <mergeCell ref="V28:W28"/>
    <mergeCell ref="X28:Y28"/>
    <mergeCell ref="AA28:AH28"/>
    <mergeCell ref="AJ28:AQ28"/>
    <mergeCell ref="AS28:AZ28"/>
    <mergeCell ref="C29:D29"/>
    <mergeCell ref="N29:S29"/>
    <mergeCell ref="N30:S30"/>
    <mergeCell ref="I23:K23"/>
    <mergeCell ref="L23:L31"/>
    <mergeCell ref="I29:J29"/>
    <mergeCell ref="T29:U29"/>
    <mergeCell ref="V29:W29"/>
    <mergeCell ref="X29:Y29"/>
    <mergeCell ref="I30:J30"/>
    <mergeCell ref="V21:W21"/>
    <mergeCell ref="X21:Y21"/>
    <mergeCell ref="BB21:BL21"/>
    <mergeCell ref="B22:F22"/>
    <mergeCell ref="H22:L22"/>
    <mergeCell ref="N22:S22"/>
    <mergeCell ref="T22:U22"/>
    <mergeCell ref="V22:W22"/>
    <mergeCell ref="X22:Y22"/>
    <mergeCell ref="BB19:BL20"/>
    <mergeCell ref="BB22:BL23"/>
    <mergeCell ref="BB25:BL29"/>
    <mergeCell ref="G22:G25"/>
    <mergeCell ref="H23:H26"/>
    <mergeCell ref="G26:G29"/>
    <mergeCell ref="H27:H30"/>
    <mergeCell ref="C30:D30"/>
    <mergeCell ref="AJ25:AQ25"/>
    <mergeCell ref="AJ26:AQ26"/>
    <mergeCell ref="AS26:AZ26"/>
    <mergeCell ref="AA29:AZ29"/>
    <mergeCell ref="V23:W23"/>
    <mergeCell ref="X23:Y23"/>
    <mergeCell ref="V25:W25"/>
    <mergeCell ref="X25:Y25"/>
    <mergeCell ref="AA25:AH25"/>
    <mergeCell ref="AS25:AZ25"/>
    <mergeCell ref="AA26:AH26"/>
    <mergeCell ref="T30:U30"/>
    <mergeCell ref="V30:W30"/>
    <mergeCell ref="X30:Y30"/>
    <mergeCell ref="AA30:AZ31"/>
    <mergeCell ref="X31:Y31"/>
    <mergeCell ref="C31:E31"/>
    <mergeCell ref="H31:K31"/>
    <mergeCell ref="N31:S31"/>
    <mergeCell ref="T31:U31"/>
    <mergeCell ref="V31:W31"/>
    <mergeCell ref="N32:S32"/>
    <mergeCell ref="T32:U32"/>
    <mergeCell ref="V32:W32"/>
    <mergeCell ref="X32:Y32"/>
    <mergeCell ref="AA32:AA36"/>
    <mergeCell ref="V34:W34"/>
    <mergeCell ref="X34:Y34"/>
    <mergeCell ref="AB32:AE34"/>
    <mergeCell ref="AF32:AF36"/>
    <mergeCell ref="AB35:AE36"/>
    <mergeCell ref="AG35:AJ36"/>
    <mergeCell ref="AL35:AO36"/>
    <mergeCell ref="AQ35:AT36"/>
    <mergeCell ref="AV35:AY36"/>
    <mergeCell ref="AS17:AZ17"/>
    <mergeCell ref="B18:F19"/>
    <mergeCell ref="G18:K19"/>
    <mergeCell ref="N18:S18"/>
    <mergeCell ref="T18:U18"/>
    <mergeCell ref="V18:W18"/>
    <mergeCell ref="X18:Y18"/>
    <mergeCell ref="N35:Y38"/>
    <mergeCell ref="AA37:AZ38"/>
    <mergeCell ref="B2:BL3"/>
    <mergeCell ref="A4:BB4"/>
    <mergeCell ref="A5:A39"/>
    <mergeCell ref="M5:M38"/>
    <mergeCell ref="Z5:Z38"/>
    <mergeCell ref="BB5:BL6"/>
    <mergeCell ref="BB24:BL24"/>
    <mergeCell ref="B39:BB39"/>
    <mergeCell ref="AG32:AJ34"/>
    <mergeCell ref="AK32:AK36"/>
    <mergeCell ref="AL32:AO34"/>
    <mergeCell ref="AP32:AP36"/>
    <mergeCell ref="AQ32:AT34"/>
    <mergeCell ref="AU32:AU36"/>
    <mergeCell ref="AV32:AY34"/>
    <mergeCell ref="AZ32:AZ36"/>
    <mergeCell ref="N33:S33"/>
    <mergeCell ref="T33:U33"/>
    <mergeCell ref="V33:W33"/>
    <mergeCell ref="X33:Y33"/>
    <mergeCell ref="N34:S34"/>
    <mergeCell ref="T34:U34"/>
    <mergeCell ref="N5:Y6"/>
    <mergeCell ref="B8:L9"/>
    <mergeCell ref="N8:S8"/>
    <mergeCell ref="T8:U8"/>
    <mergeCell ref="V8:W8"/>
    <mergeCell ref="X8:Y8"/>
    <mergeCell ref="N9:S9"/>
    <mergeCell ref="X9:Y9"/>
    <mergeCell ref="AA9:AH9"/>
    <mergeCell ref="AS8:AZ8"/>
    <mergeCell ref="AS9:AZ9"/>
    <mergeCell ref="B10:L10"/>
    <mergeCell ref="N10:S10"/>
    <mergeCell ref="T10:U10"/>
    <mergeCell ref="V10:W10"/>
    <mergeCell ref="X10:Y10"/>
    <mergeCell ref="AA10:AH10"/>
    <mergeCell ref="AJ10:AQ10"/>
    <mergeCell ref="AS10:AZ10"/>
    <mergeCell ref="T12:U12"/>
    <mergeCell ref="V12:W12"/>
    <mergeCell ref="T9:U9"/>
    <mergeCell ref="V9:W9"/>
    <mergeCell ref="N11:S11"/>
    <mergeCell ref="T11:U11"/>
    <mergeCell ref="V11:W11"/>
    <mergeCell ref="X11:Y11"/>
    <mergeCell ref="N12:S12"/>
    <mergeCell ref="AS12:AZ12"/>
    <mergeCell ref="BB12:BL12"/>
    <mergeCell ref="V13:W13"/>
    <mergeCell ref="X13:Y13"/>
    <mergeCell ref="AA13:AH13"/>
    <mergeCell ref="AJ13:AQ13"/>
    <mergeCell ref="BB10:BL10"/>
    <mergeCell ref="BB13:BL17"/>
    <mergeCell ref="N14:S14"/>
    <mergeCell ref="T14:U14"/>
    <mergeCell ref="V14:W14"/>
    <mergeCell ref="X14:Y14"/>
    <mergeCell ref="AA14:AH14"/>
    <mergeCell ref="AJ14:AQ14"/>
    <mergeCell ref="AS11:AZ11"/>
    <mergeCell ref="AS14:AZ14"/>
    <mergeCell ref="AS18:AZ18"/>
    <mergeCell ref="AA19:AH19"/>
    <mergeCell ref="AJ19:AQ19"/>
    <mergeCell ref="AS19:AZ19"/>
    <mergeCell ref="AA20:AH20"/>
    <mergeCell ref="AJ20:AQ20"/>
    <mergeCell ref="AS20:AZ20"/>
    <mergeCell ref="AA21:AH21"/>
    <mergeCell ref="AJ21:AQ21"/>
    <mergeCell ref="AS21:AZ21"/>
    <mergeCell ref="AA22:AH22"/>
    <mergeCell ref="AJ22:AQ22"/>
    <mergeCell ref="AA5:AZ6"/>
    <mergeCell ref="BA5:BA38"/>
    <mergeCell ref="AA7:AH7"/>
    <mergeCell ref="AI7:AI28"/>
    <mergeCell ref="AR7:AR28"/>
    <mergeCell ref="AS7:AZ7"/>
    <mergeCell ref="AA8:AH8"/>
    <mergeCell ref="AS22:AZ22"/>
    <mergeCell ref="B5:L6"/>
    <mergeCell ref="B7:L7"/>
    <mergeCell ref="N7:S7"/>
    <mergeCell ref="T7:U7"/>
    <mergeCell ref="N15:S15"/>
    <mergeCell ref="T15:U15"/>
    <mergeCell ref="V15:W15"/>
    <mergeCell ref="X15:Y15"/>
    <mergeCell ref="V7:W7"/>
    <mergeCell ref="X7:Y7"/>
    <mergeCell ref="AJ7:AQ7"/>
    <mergeCell ref="AJ8:AQ8"/>
    <mergeCell ref="BB7:BL7"/>
    <mergeCell ref="BB8:BL9"/>
    <mergeCell ref="AA11:AH11"/>
    <mergeCell ref="AJ11:AQ11"/>
    <mergeCell ref="BB11:BL11"/>
    <mergeCell ref="AA15:AH15"/>
    <mergeCell ref="AJ15:AQ15"/>
    <mergeCell ref="AJ9:AQ9"/>
    <mergeCell ref="B11:L15"/>
    <mergeCell ref="X12:Y12"/>
    <mergeCell ref="AA12:AH12"/>
    <mergeCell ref="AJ12:AQ12"/>
    <mergeCell ref="N13:S13"/>
    <mergeCell ref="T13:U13"/>
    <mergeCell ref="AS15:AZ15"/>
    <mergeCell ref="AS16:AZ16"/>
    <mergeCell ref="N17:S17"/>
    <mergeCell ref="T17:U17"/>
    <mergeCell ref="V17:W17"/>
    <mergeCell ref="X17:Y17"/>
    <mergeCell ref="B16:L17"/>
    <mergeCell ref="N16:S16"/>
    <mergeCell ref="T16:U16"/>
    <mergeCell ref="V16:W16"/>
    <mergeCell ref="X16:Y16"/>
    <mergeCell ref="AA16:AH16"/>
    <mergeCell ref="AJ16:AQ16"/>
    <mergeCell ref="AA17:AH17"/>
    <mergeCell ref="AJ17:AQ17"/>
    <mergeCell ref="AA18:AH18"/>
    <mergeCell ref="AJ18:AQ18"/>
    <mergeCell ref="AS13:AZ13"/>
    <mergeCell ref="BB18:BL18"/>
    <mergeCell ref="N19:S19"/>
    <mergeCell ref="T19:U19"/>
    <mergeCell ref="V19:W19"/>
    <mergeCell ref="X19:Y19"/>
    <mergeCell ref="L18:L21"/>
    <mergeCell ref="B20:F21"/>
    <mergeCell ref="G20:K21"/>
    <mergeCell ref="N20:S20"/>
    <mergeCell ref="T20:U20"/>
    <mergeCell ref="V20:W20"/>
    <mergeCell ref="X20:Y20"/>
    <mergeCell ref="N21:S21"/>
    <mergeCell ref="T21:U21"/>
  </mergeCells>
  <conditionalFormatting sqref="A1:A39 B1:BL1 B4:BL4 B39:BD39 BJ39:BL39">
    <cfRule type="containsBlanks" dxfId="1" priority="1">
      <formula>LEN(TRIM(A1))=0</formula>
    </cfRule>
  </conditionalFormatting>
  <conditionalFormatting sqref="M5:M38 Z5:Z38 BA5:BA38 BB18:BL18 B22 C22:C30 D22:D38 E22:E30 F22 H22 I22:K30 L22 AA29:AZ29 BB30:BL38 B32:C38 E32:L38 N35:Y38 AA37:AZ38">
    <cfRule type="containsBlanks" dxfId="2" priority="2">
      <formula>LEN(TRIM(M5))=0</formula>
    </cfRule>
  </conditionalFormatting>
  <dataValidations>
    <dataValidation type="list" allowBlank="1" showDropDown="1" showErrorMessage="1" sqref="E28 K28">
      <formula1>"F,D,C,I,S,P"</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61" width="3.25"/>
  </cols>
  <sheetData>
    <row r="1">
      <c r="A1" s="29"/>
    </row>
    <row r="2">
      <c r="A2" s="29"/>
      <c r="B2" s="102" t="s">
        <v>219</v>
      </c>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141"/>
    </row>
    <row r="3">
      <c r="B3" s="21"/>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row>
    <row r="4">
      <c r="B4" s="29"/>
    </row>
    <row r="5">
      <c r="B5" s="142" t="s">
        <v>220</v>
      </c>
      <c r="C5" s="8"/>
      <c r="D5" s="8"/>
      <c r="E5" s="8"/>
      <c r="F5" s="8"/>
      <c r="G5" s="8"/>
      <c r="H5" s="8"/>
      <c r="I5" s="8"/>
      <c r="J5" s="8"/>
      <c r="K5" s="8"/>
      <c r="L5" s="8"/>
      <c r="M5" s="8"/>
      <c r="N5" s="8"/>
      <c r="O5" s="9"/>
      <c r="P5" s="143"/>
      <c r="Q5" s="142" t="s">
        <v>221</v>
      </c>
      <c r="R5" s="8"/>
      <c r="S5" s="8"/>
      <c r="T5" s="8"/>
      <c r="U5" s="8"/>
      <c r="V5" s="8"/>
      <c r="W5" s="8"/>
      <c r="X5" s="8"/>
      <c r="Y5" s="8"/>
      <c r="Z5" s="8"/>
      <c r="AA5" s="8"/>
      <c r="AB5" s="8"/>
      <c r="AC5" s="8"/>
      <c r="AD5" s="9"/>
      <c r="AE5" s="143"/>
      <c r="AF5" s="142" t="s">
        <v>222</v>
      </c>
      <c r="AG5" s="8"/>
      <c r="AH5" s="8"/>
      <c r="AI5" s="8"/>
      <c r="AJ5" s="8"/>
      <c r="AK5" s="8"/>
      <c r="AL5" s="8"/>
      <c r="AM5" s="8"/>
      <c r="AN5" s="8"/>
      <c r="AO5" s="8"/>
      <c r="AP5" s="8"/>
      <c r="AQ5" s="8"/>
      <c r="AR5" s="8"/>
      <c r="AS5" s="9"/>
      <c r="AT5" s="143"/>
      <c r="AU5" s="142" t="s">
        <v>223</v>
      </c>
      <c r="AV5" s="8"/>
      <c r="AW5" s="8"/>
      <c r="AX5" s="8"/>
      <c r="AY5" s="8"/>
      <c r="AZ5" s="8"/>
      <c r="BA5" s="8"/>
      <c r="BB5" s="8"/>
      <c r="BC5" s="8"/>
      <c r="BD5" s="8"/>
      <c r="BE5" s="8"/>
      <c r="BF5" s="8"/>
      <c r="BG5" s="8"/>
      <c r="BH5" s="9"/>
    </row>
    <row r="6">
      <c r="B6" s="21"/>
      <c r="C6" s="22"/>
      <c r="D6" s="22"/>
      <c r="E6" s="22"/>
      <c r="F6" s="22"/>
      <c r="G6" s="22"/>
      <c r="H6" s="22"/>
      <c r="I6" s="22"/>
      <c r="J6" s="22"/>
      <c r="K6" s="22"/>
      <c r="L6" s="22"/>
      <c r="M6" s="22"/>
      <c r="N6" s="22"/>
      <c r="O6" s="23"/>
      <c r="Q6" s="21"/>
      <c r="R6" s="22"/>
      <c r="S6" s="22"/>
      <c r="T6" s="22"/>
      <c r="U6" s="22"/>
      <c r="V6" s="22"/>
      <c r="W6" s="22"/>
      <c r="X6" s="22"/>
      <c r="Y6" s="22"/>
      <c r="Z6" s="22"/>
      <c r="AA6" s="22"/>
      <c r="AB6" s="22"/>
      <c r="AC6" s="22"/>
      <c r="AD6" s="23"/>
      <c r="AF6" s="21"/>
      <c r="AG6" s="22"/>
      <c r="AH6" s="22"/>
      <c r="AI6" s="22"/>
      <c r="AJ6" s="22"/>
      <c r="AK6" s="22"/>
      <c r="AL6" s="22"/>
      <c r="AM6" s="22"/>
      <c r="AN6" s="22"/>
      <c r="AO6" s="22"/>
      <c r="AP6" s="22"/>
      <c r="AQ6" s="22"/>
      <c r="AR6" s="22"/>
      <c r="AS6" s="23"/>
      <c r="AU6" s="21"/>
      <c r="AV6" s="22"/>
      <c r="AW6" s="22"/>
      <c r="AX6" s="22"/>
      <c r="AY6" s="22"/>
      <c r="AZ6" s="22"/>
      <c r="BA6" s="22"/>
      <c r="BB6" s="22"/>
      <c r="BC6" s="22"/>
      <c r="BD6" s="22"/>
      <c r="BE6" s="22"/>
      <c r="BF6" s="22"/>
      <c r="BG6" s="22"/>
      <c r="BH6" s="23"/>
    </row>
    <row r="7">
      <c r="B7" s="118"/>
      <c r="C7" s="53" t="s">
        <v>224</v>
      </c>
      <c r="D7" s="14"/>
      <c r="E7" s="14"/>
      <c r="F7" s="14"/>
      <c r="G7" s="14"/>
      <c r="H7" s="14"/>
      <c r="I7" s="14"/>
      <c r="J7" s="14"/>
      <c r="K7" s="14"/>
      <c r="L7" s="14"/>
      <c r="M7" s="14"/>
      <c r="N7" s="15"/>
      <c r="O7" s="118"/>
      <c r="Q7" s="118"/>
      <c r="R7" s="53" t="s">
        <v>224</v>
      </c>
      <c r="S7" s="14"/>
      <c r="T7" s="14"/>
      <c r="U7" s="14"/>
      <c r="V7" s="14"/>
      <c r="W7" s="14"/>
      <c r="X7" s="14"/>
      <c r="Y7" s="14"/>
      <c r="Z7" s="14"/>
      <c r="AA7" s="14"/>
      <c r="AB7" s="14"/>
      <c r="AC7" s="15"/>
      <c r="AD7" s="118"/>
      <c r="AF7" s="118"/>
      <c r="AG7" s="53" t="s">
        <v>224</v>
      </c>
      <c r="AH7" s="14"/>
      <c r="AI7" s="14"/>
      <c r="AJ7" s="14"/>
      <c r="AK7" s="14"/>
      <c r="AL7" s="14"/>
      <c r="AM7" s="14"/>
      <c r="AN7" s="14"/>
      <c r="AO7" s="14"/>
      <c r="AP7" s="14"/>
      <c r="AQ7" s="14"/>
      <c r="AR7" s="15"/>
      <c r="AS7" s="118"/>
      <c r="AU7" s="118"/>
      <c r="AV7" s="53" t="s">
        <v>224</v>
      </c>
      <c r="AW7" s="14"/>
      <c r="AX7" s="14"/>
      <c r="AY7" s="14"/>
      <c r="AZ7" s="14"/>
      <c r="BA7" s="14"/>
      <c r="BB7" s="14"/>
      <c r="BC7" s="14"/>
      <c r="BD7" s="14"/>
      <c r="BE7" s="14"/>
      <c r="BF7" s="14"/>
      <c r="BG7" s="15"/>
      <c r="BH7" s="118"/>
    </row>
    <row r="8">
      <c r="B8" s="119"/>
      <c r="C8" s="129" t="s">
        <v>225</v>
      </c>
      <c r="D8" s="14"/>
      <c r="E8" s="14"/>
      <c r="F8" s="14"/>
      <c r="G8" s="14"/>
      <c r="H8" s="14"/>
      <c r="I8" s="14"/>
      <c r="J8" s="14"/>
      <c r="K8" s="14"/>
      <c r="L8" s="14"/>
      <c r="M8" s="14"/>
      <c r="N8" s="15"/>
      <c r="O8" s="119"/>
      <c r="Q8" s="119"/>
      <c r="R8" s="129" t="s">
        <v>225</v>
      </c>
      <c r="S8" s="14"/>
      <c r="T8" s="14"/>
      <c r="U8" s="14"/>
      <c r="V8" s="14"/>
      <c r="W8" s="14"/>
      <c r="X8" s="14"/>
      <c r="Y8" s="14"/>
      <c r="Z8" s="14"/>
      <c r="AA8" s="14"/>
      <c r="AB8" s="14"/>
      <c r="AC8" s="15"/>
      <c r="AD8" s="119"/>
      <c r="AF8" s="119"/>
      <c r="AG8" s="129" t="s">
        <v>225</v>
      </c>
      <c r="AH8" s="14"/>
      <c r="AI8" s="14"/>
      <c r="AJ8" s="14"/>
      <c r="AK8" s="14"/>
      <c r="AL8" s="14"/>
      <c r="AM8" s="14"/>
      <c r="AN8" s="14"/>
      <c r="AO8" s="14"/>
      <c r="AP8" s="14"/>
      <c r="AQ8" s="14"/>
      <c r="AR8" s="15"/>
      <c r="AS8" s="119"/>
      <c r="AU8" s="119"/>
      <c r="AV8" s="129"/>
      <c r="AW8" s="14"/>
      <c r="AX8" s="14"/>
      <c r="AY8" s="14"/>
      <c r="AZ8" s="14"/>
      <c r="BA8" s="14"/>
      <c r="BB8" s="14"/>
      <c r="BC8" s="14"/>
      <c r="BD8" s="14"/>
      <c r="BE8" s="14"/>
      <c r="BF8" s="14"/>
      <c r="BG8" s="15"/>
      <c r="BH8" s="119"/>
    </row>
    <row r="9">
      <c r="B9" s="119"/>
      <c r="C9" s="144"/>
      <c r="D9" s="14"/>
      <c r="E9" s="14"/>
      <c r="F9" s="14"/>
      <c r="G9" s="14"/>
      <c r="H9" s="14"/>
      <c r="I9" s="14"/>
      <c r="J9" s="14"/>
      <c r="K9" s="14"/>
      <c r="L9" s="14"/>
      <c r="M9" s="14"/>
      <c r="N9" s="15"/>
      <c r="O9" s="119"/>
      <c r="Q9" s="119"/>
      <c r="R9" s="144"/>
      <c r="S9" s="14"/>
      <c r="T9" s="14"/>
      <c r="U9" s="14"/>
      <c r="V9" s="14"/>
      <c r="W9" s="14"/>
      <c r="X9" s="14"/>
      <c r="Y9" s="14"/>
      <c r="Z9" s="14"/>
      <c r="AA9" s="14"/>
      <c r="AB9" s="14"/>
      <c r="AC9" s="15"/>
      <c r="AD9" s="119"/>
      <c r="AF9" s="119"/>
      <c r="AG9" s="144"/>
      <c r="AH9" s="14"/>
      <c r="AI9" s="14"/>
      <c r="AJ9" s="14"/>
      <c r="AK9" s="14"/>
      <c r="AL9" s="14"/>
      <c r="AM9" s="14"/>
      <c r="AN9" s="14"/>
      <c r="AO9" s="14"/>
      <c r="AP9" s="14"/>
      <c r="AQ9" s="14"/>
      <c r="AR9" s="15"/>
      <c r="AS9" s="119"/>
      <c r="AU9" s="119"/>
      <c r="AV9" s="144"/>
      <c r="AW9" s="14"/>
      <c r="AX9" s="14"/>
      <c r="AY9" s="14"/>
      <c r="AZ9" s="14"/>
      <c r="BA9" s="14"/>
      <c r="BB9" s="14"/>
      <c r="BC9" s="14"/>
      <c r="BD9" s="14"/>
      <c r="BE9" s="14"/>
      <c r="BF9" s="14"/>
      <c r="BG9" s="15"/>
      <c r="BH9" s="119"/>
    </row>
    <row r="10">
      <c r="B10" s="119"/>
      <c r="C10" s="145">
        <v>49.0</v>
      </c>
      <c r="D10" s="8"/>
      <c r="E10" s="9"/>
      <c r="F10" s="146">
        <v>49.0</v>
      </c>
      <c r="G10" s="8"/>
      <c r="H10" s="9"/>
      <c r="I10" s="147">
        <v>18.0</v>
      </c>
      <c r="J10" s="8"/>
      <c r="K10" s="9"/>
      <c r="L10" s="148" t="s">
        <v>226</v>
      </c>
      <c r="M10" s="8"/>
      <c r="N10" s="9"/>
      <c r="O10" s="119"/>
      <c r="Q10" s="119"/>
      <c r="R10" s="145">
        <v>49.0</v>
      </c>
      <c r="S10" s="8"/>
      <c r="T10" s="9"/>
      <c r="U10" s="146">
        <v>49.0</v>
      </c>
      <c r="V10" s="8"/>
      <c r="W10" s="9"/>
      <c r="X10" s="147">
        <v>17.0</v>
      </c>
      <c r="Y10" s="8"/>
      <c r="Z10" s="9"/>
      <c r="AA10" s="148" t="s">
        <v>226</v>
      </c>
      <c r="AB10" s="8"/>
      <c r="AC10" s="9"/>
      <c r="AD10" s="119"/>
      <c r="AF10" s="119"/>
      <c r="AG10" s="145">
        <v>65.0</v>
      </c>
      <c r="AH10" s="8"/>
      <c r="AI10" s="9"/>
      <c r="AJ10" s="146">
        <v>65.0</v>
      </c>
      <c r="AK10" s="8"/>
      <c r="AL10" s="9"/>
      <c r="AM10" s="147">
        <v>19.0</v>
      </c>
      <c r="AN10" s="8"/>
      <c r="AO10" s="9"/>
      <c r="AP10" s="148" t="s">
        <v>226</v>
      </c>
      <c r="AQ10" s="8"/>
      <c r="AR10" s="9"/>
      <c r="AS10" s="119"/>
      <c r="AU10" s="119"/>
      <c r="AV10" s="149"/>
      <c r="AW10" s="8"/>
      <c r="AX10" s="9"/>
      <c r="AY10" s="150"/>
      <c r="AZ10" s="8"/>
      <c r="BA10" s="9"/>
      <c r="BB10" s="151"/>
      <c r="BC10" s="8"/>
      <c r="BD10" s="9"/>
      <c r="BE10" s="152"/>
      <c r="BF10" s="8"/>
      <c r="BG10" s="9"/>
      <c r="BH10" s="119"/>
    </row>
    <row r="11">
      <c r="B11" s="119"/>
      <c r="E11" s="42"/>
      <c r="F11" s="41"/>
      <c r="H11" s="42"/>
      <c r="I11" s="41"/>
      <c r="K11" s="42"/>
      <c r="L11" s="41"/>
      <c r="N11" s="42"/>
      <c r="O11" s="119"/>
      <c r="Q11" s="119"/>
      <c r="T11" s="42"/>
      <c r="U11" s="41"/>
      <c r="W11" s="42"/>
      <c r="X11" s="41"/>
      <c r="Z11" s="42"/>
      <c r="AA11" s="41"/>
      <c r="AC11" s="42"/>
      <c r="AD11" s="119"/>
      <c r="AF11" s="119"/>
      <c r="AI11" s="42"/>
      <c r="AJ11" s="41"/>
      <c r="AL11" s="42"/>
      <c r="AM11" s="41"/>
      <c r="AO11" s="42"/>
      <c r="AP11" s="41"/>
      <c r="AR11" s="42"/>
      <c r="AS11" s="119"/>
      <c r="AU11" s="119"/>
      <c r="AX11" s="42"/>
      <c r="AY11" s="41"/>
      <c r="BA11" s="42"/>
      <c r="BB11" s="41"/>
      <c r="BD11" s="42"/>
      <c r="BE11" s="41"/>
      <c r="BG11" s="42"/>
      <c r="BH11" s="119"/>
    </row>
    <row r="12">
      <c r="B12" s="119"/>
      <c r="E12" s="42"/>
      <c r="F12" s="41"/>
      <c r="H12" s="42"/>
      <c r="I12" s="41"/>
      <c r="K12" s="42"/>
      <c r="L12" s="41"/>
      <c r="N12" s="42"/>
      <c r="O12" s="119"/>
      <c r="Q12" s="119"/>
      <c r="T12" s="42"/>
      <c r="U12" s="41"/>
      <c r="W12" s="42"/>
      <c r="X12" s="41"/>
      <c r="Z12" s="42"/>
      <c r="AA12" s="41"/>
      <c r="AC12" s="42"/>
      <c r="AD12" s="119"/>
      <c r="AF12" s="119"/>
      <c r="AI12" s="42"/>
      <c r="AJ12" s="41"/>
      <c r="AL12" s="42"/>
      <c r="AM12" s="41"/>
      <c r="AO12" s="42"/>
      <c r="AP12" s="41"/>
      <c r="AR12" s="42"/>
      <c r="AS12" s="119"/>
      <c r="AU12" s="119"/>
      <c r="AX12" s="42"/>
      <c r="AY12" s="41"/>
      <c r="BA12" s="42"/>
      <c r="BB12" s="41"/>
      <c r="BD12" s="42"/>
      <c r="BE12" s="41"/>
      <c r="BG12" s="42"/>
      <c r="BH12" s="119"/>
    </row>
    <row r="13">
      <c r="B13" s="119"/>
      <c r="C13" s="22"/>
      <c r="D13" s="22"/>
      <c r="E13" s="23"/>
      <c r="F13" s="21"/>
      <c r="G13" s="22"/>
      <c r="H13" s="23"/>
      <c r="I13" s="21"/>
      <c r="J13" s="22"/>
      <c r="K13" s="23"/>
      <c r="L13" s="21"/>
      <c r="M13" s="22"/>
      <c r="N13" s="23"/>
      <c r="O13" s="119"/>
      <c r="Q13" s="119"/>
      <c r="R13" s="22"/>
      <c r="S13" s="22"/>
      <c r="T13" s="23"/>
      <c r="U13" s="21"/>
      <c r="V13" s="22"/>
      <c r="W13" s="23"/>
      <c r="X13" s="21"/>
      <c r="Y13" s="22"/>
      <c r="Z13" s="23"/>
      <c r="AA13" s="21"/>
      <c r="AB13" s="22"/>
      <c r="AC13" s="23"/>
      <c r="AD13" s="119"/>
      <c r="AF13" s="119"/>
      <c r="AG13" s="22"/>
      <c r="AH13" s="22"/>
      <c r="AI13" s="23"/>
      <c r="AJ13" s="21"/>
      <c r="AK13" s="22"/>
      <c r="AL13" s="23"/>
      <c r="AM13" s="21"/>
      <c r="AN13" s="22"/>
      <c r="AO13" s="23"/>
      <c r="AP13" s="21"/>
      <c r="AQ13" s="22"/>
      <c r="AR13" s="23"/>
      <c r="AS13" s="119"/>
      <c r="AU13" s="119"/>
      <c r="AV13" s="22"/>
      <c r="AW13" s="22"/>
      <c r="AX13" s="23"/>
      <c r="AY13" s="21"/>
      <c r="AZ13" s="22"/>
      <c r="BA13" s="23"/>
      <c r="BB13" s="21"/>
      <c r="BC13" s="22"/>
      <c r="BD13" s="23"/>
      <c r="BE13" s="21"/>
      <c r="BF13" s="22"/>
      <c r="BG13" s="23"/>
      <c r="BH13" s="119"/>
    </row>
    <row r="14">
      <c r="B14" s="119"/>
      <c r="C14" s="153" t="s">
        <v>30</v>
      </c>
      <c r="D14" s="14"/>
      <c r="E14" s="15"/>
      <c r="F14" s="26" t="s">
        <v>32</v>
      </c>
      <c r="G14" s="14"/>
      <c r="H14" s="15"/>
      <c r="I14" s="154" t="s">
        <v>28</v>
      </c>
      <c r="J14" s="8"/>
      <c r="K14" s="9"/>
      <c r="L14" s="155" t="s">
        <v>227</v>
      </c>
      <c r="M14" s="8"/>
      <c r="N14" s="9"/>
      <c r="O14" s="119"/>
      <c r="Q14" s="119"/>
      <c r="R14" s="153" t="s">
        <v>30</v>
      </c>
      <c r="S14" s="14"/>
      <c r="T14" s="15"/>
      <c r="U14" s="26" t="s">
        <v>32</v>
      </c>
      <c r="V14" s="14"/>
      <c r="W14" s="15"/>
      <c r="X14" s="154" t="s">
        <v>28</v>
      </c>
      <c r="Y14" s="8"/>
      <c r="Z14" s="9"/>
      <c r="AA14" s="155" t="s">
        <v>227</v>
      </c>
      <c r="AB14" s="8"/>
      <c r="AC14" s="9"/>
      <c r="AD14" s="119"/>
      <c r="AF14" s="119"/>
      <c r="AG14" s="153" t="s">
        <v>30</v>
      </c>
      <c r="AH14" s="14"/>
      <c r="AI14" s="15"/>
      <c r="AJ14" s="26" t="s">
        <v>32</v>
      </c>
      <c r="AK14" s="14"/>
      <c r="AL14" s="15"/>
      <c r="AM14" s="154" t="s">
        <v>28</v>
      </c>
      <c r="AN14" s="8"/>
      <c r="AO14" s="9"/>
      <c r="AP14" s="155" t="s">
        <v>227</v>
      </c>
      <c r="AQ14" s="8"/>
      <c r="AR14" s="9"/>
      <c r="AS14" s="119"/>
      <c r="AU14" s="119"/>
      <c r="AV14" s="153" t="s">
        <v>30</v>
      </c>
      <c r="AW14" s="14"/>
      <c r="AX14" s="15"/>
      <c r="AY14" s="26" t="s">
        <v>32</v>
      </c>
      <c r="AZ14" s="14"/>
      <c r="BA14" s="15"/>
      <c r="BB14" s="154" t="s">
        <v>28</v>
      </c>
      <c r="BC14" s="8"/>
      <c r="BD14" s="9"/>
      <c r="BE14" s="155" t="s">
        <v>227</v>
      </c>
      <c r="BF14" s="8"/>
      <c r="BG14" s="9"/>
      <c r="BH14" s="119"/>
    </row>
    <row r="15">
      <c r="B15" s="3"/>
      <c r="C15" s="156" t="s">
        <v>24</v>
      </c>
      <c r="I15" s="21"/>
      <c r="J15" s="22"/>
      <c r="K15" s="23"/>
      <c r="L15" s="21"/>
      <c r="M15" s="22"/>
      <c r="N15" s="23"/>
      <c r="O15" s="3"/>
      <c r="Q15" s="3"/>
      <c r="R15" s="156" t="s">
        <v>24</v>
      </c>
      <c r="X15" s="21"/>
      <c r="Y15" s="22"/>
      <c r="Z15" s="23"/>
      <c r="AA15" s="21"/>
      <c r="AB15" s="22"/>
      <c r="AC15" s="23"/>
      <c r="AD15" s="3"/>
      <c r="AF15" s="3"/>
      <c r="AG15" s="156" t="s">
        <v>24</v>
      </c>
      <c r="AM15" s="21"/>
      <c r="AN15" s="22"/>
      <c r="AO15" s="23"/>
      <c r="AP15" s="21"/>
      <c r="AQ15" s="22"/>
      <c r="AR15" s="23"/>
      <c r="AS15" s="3"/>
      <c r="AU15" s="3"/>
      <c r="AV15" s="156" t="s">
        <v>24</v>
      </c>
      <c r="BB15" s="21"/>
      <c r="BC15" s="22"/>
      <c r="BD15" s="23"/>
      <c r="BE15" s="21"/>
      <c r="BF15" s="22"/>
      <c r="BG15" s="23"/>
      <c r="BH15" s="3"/>
    </row>
    <row r="16">
      <c r="B16" s="118"/>
      <c r="C16" s="157" t="s">
        <v>23</v>
      </c>
      <c r="D16" s="14"/>
      <c r="E16" s="14"/>
      <c r="F16" s="14"/>
      <c r="G16" s="14"/>
      <c r="H16" s="14"/>
      <c r="I16" s="14"/>
      <c r="J16" s="14"/>
      <c r="K16" s="14"/>
      <c r="L16" s="14"/>
      <c r="M16" s="14"/>
      <c r="N16" s="15"/>
      <c r="O16" s="118"/>
      <c r="Q16" s="118"/>
      <c r="R16" s="157" t="s">
        <v>23</v>
      </c>
      <c r="S16" s="14"/>
      <c r="T16" s="14"/>
      <c r="U16" s="14"/>
      <c r="V16" s="14"/>
      <c r="W16" s="14"/>
      <c r="X16" s="14"/>
      <c r="Y16" s="14"/>
      <c r="Z16" s="14"/>
      <c r="AA16" s="14"/>
      <c r="AB16" s="14"/>
      <c r="AC16" s="15"/>
      <c r="AD16" s="118"/>
      <c r="AF16" s="118"/>
      <c r="AG16" s="157" t="s">
        <v>23</v>
      </c>
      <c r="AH16" s="14"/>
      <c r="AI16" s="14"/>
      <c r="AJ16" s="14"/>
      <c r="AK16" s="14"/>
      <c r="AL16" s="14"/>
      <c r="AM16" s="14"/>
      <c r="AN16" s="14"/>
      <c r="AO16" s="14"/>
      <c r="AP16" s="14"/>
      <c r="AQ16" s="14"/>
      <c r="AR16" s="15"/>
      <c r="AS16" s="118"/>
      <c r="AU16" s="118"/>
      <c r="AV16" s="157" t="s">
        <v>23</v>
      </c>
      <c r="AW16" s="14"/>
      <c r="AX16" s="14"/>
      <c r="AY16" s="14"/>
      <c r="AZ16" s="14"/>
      <c r="BA16" s="14"/>
      <c r="BB16" s="14"/>
      <c r="BC16" s="14"/>
      <c r="BD16" s="14"/>
      <c r="BE16" s="14"/>
      <c r="BF16" s="14"/>
      <c r="BG16" s="15"/>
      <c r="BH16" s="118"/>
    </row>
    <row r="17">
      <c r="B17" s="119"/>
      <c r="C17" s="53" t="s">
        <v>81</v>
      </c>
      <c r="D17" s="14"/>
      <c r="E17" s="14"/>
      <c r="F17" s="15"/>
      <c r="G17" s="53" t="s">
        <v>51</v>
      </c>
      <c r="H17" s="14"/>
      <c r="I17" s="14"/>
      <c r="J17" s="15"/>
      <c r="K17" s="158" t="s">
        <v>228</v>
      </c>
      <c r="L17" s="8"/>
      <c r="M17" s="8"/>
      <c r="N17" s="9"/>
      <c r="O17" s="119"/>
      <c r="Q17" s="119"/>
      <c r="R17" s="53" t="s">
        <v>81</v>
      </c>
      <c r="S17" s="14"/>
      <c r="T17" s="14"/>
      <c r="U17" s="15"/>
      <c r="V17" s="53" t="s">
        <v>51</v>
      </c>
      <c r="W17" s="14"/>
      <c r="X17" s="14"/>
      <c r="Y17" s="15"/>
      <c r="Z17" s="158" t="s">
        <v>228</v>
      </c>
      <c r="AA17" s="8"/>
      <c r="AB17" s="8"/>
      <c r="AC17" s="9"/>
      <c r="AD17" s="119"/>
      <c r="AF17" s="119"/>
      <c r="AG17" s="53" t="s">
        <v>81</v>
      </c>
      <c r="AH17" s="14"/>
      <c r="AI17" s="14"/>
      <c r="AJ17" s="15"/>
      <c r="AK17" s="53" t="s">
        <v>51</v>
      </c>
      <c r="AL17" s="14"/>
      <c r="AM17" s="14"/>
      <c r="AN17" s="15"/>
      <c r="AO17" s="158" t="s">
        <v>228</v>
      </c>
      <c r="AP17" s="8"/>
      <c r="AQ17" s="8"/>
      <c r="AR17" s="9"/>
      <c r="AS17" s="119"/>
      <c r="AU17" s="119"/>
      <c r="AV17" s="53" t="s">
        <v>81</v>
      </c>
      <c r="AW17" s="14"/>
      <c r="AX17" s="14"/>
      <c r="AY17" s="15"/>
      <c r="AZ17" s="53" t="s">
        <v>51</v>
      </c>
      <c r="BA17" s="14"/>
      <c r="BB17" s="14"/>
      <c r="BC17" s="15"/>
      <c r="BD17" s="158" t="s">
        <v>228</v>
      </c>
      <c r="BE17" s="8"/>
      <c r="BF17" s="8"/>
      <c r="BG17" s="9"/>
      <c r="BH17" s="119"/>
    </row>
    <row r="18">
      <c r="B18" s="119"/>
      <c r="C18" s="159" t="s">
        <v>229</v>
      </c>
      <c r="D18" s="14"/>
      <c r="E18" s="14"/>
      <c r="F18" s="15"/>
      <c r="G18" s="16">
        <v>8.0</v>
      </c>
      <c r="H18" s="14"/>
      <c r="I18" s="14"/>
      <c r="J18" s="15"/>
      <c r="K18" s="160">
        <f t="shared" ref="K18:K23" si="1">IF(G18&gt;=10,ROUNDDOWN((G18-10)/2,0),ROUNDUP((G18-10)/2,0))</f>
        <v>-1</v>
      </c>
      <c r="L18" s="14"/>
      <c r="M18" s="14"/>
      <c r="N18" s="15"/>
      <c r="O18" s="119"/>
      <c r="Q18" s="119"/>
      <c r="R18" s="159" t="s">
        <v>229</v>
      </c>
      <c r="S18" s="14"/>
      <c r="T18" s="14"/>
      <c r="U18" s="15"/>
      <c r="V18" s="16">
        <v>8.0</v>
      </c>
      <c r="W18" s="14"/>
      <c r="X18" s="14"/>
      <c r="Y18" s="15"/>
      <c r="Z18" s="160">
        <f t="shared" ref="Z18:Z23" si="2">IF(V18&gt;=10,ROUNDDOWN((V18-10)/2,0),ROUNDUP((V18-10)/2,0))</f>
        <v>-1</v>
      </c>
      <c r="AA18" s="14"/>
      <c r="AB18" s="14"/>
      <c r="AC18" s="15"/>
      <c r="AD18" s="119"/>
      <c r="AF18" s="119"/>
      <c r="AG18" s="159" t="s">
        <v>229</v>
      </c>
      <c r="AH18" s="14"/>
      <c r="AI18" s="14"/>
      <c r="AJ18" s="15"/>
      <c r="AK18" s="16">
        <v>8.0</v>
      </c>
      <c r="AL18" s="14"/>
      <c r="AM18" s="14"/>
      <c r="AN18" s="15"/>
      <c r="AO18" s="160">
        <f t="shared" ref="AO18:AO23" si="3">IF(AK18&gt;=10,ROUNDDOWN((AK18-10)/2,0),ROUNDUP((AK18-10)/2,0))</f>
        <v>-1</v>
      </c>
      <c r="AP18" s="14"/>
      <c r="AQ18" s="14"/>
      <c r="AR18" s="15"/>
      <c r="AS18" s="119"/>
      <c r="AU18" s="119"/>
      <c r="AV18" s="159" t="s">
        <v>229</v>
      </c>
      <c r="AW18" s="14"/>
      <c r="AX18" s="14"/>
      <c r="AY18" s="15"/>
      <c r="AZ18" s="16"/>
      <c r="BA18" s="14"/>
      <c r="BB18" s="14"/>
      <c r="BC18" s="15"/>
      <c r="BD18" s="160">
        <f t="shared" ref="BD18:BD23" si="4">IF(AZ18&gt;=10,ROUNDDOWN((AZ18-10)/2,0),ROUNDUP((AZ18-10)/2,0))</f>
        <v>-5</v>
      </c>
      <c r="BE18" s="14"/>
      <c r="BF18" s="14"/>
      <c r="BG18" s="15"/>
      <c r="BH18" s="119"/>
    </row>
    <row r="19">
      <c r="B19" s="119"/>
      <c r="C19" s="159" t="s">
        <v>54</v>
      </c>
      <c r="D19" s="14"/>
      <c r="E19" s="14"/>
      <c r="F19" s="15"/>
      <c r="G19" s="16">
        <v>16.0</v>
      </c>
      <c r="H19" s="14"/>
      <c r="I19" s="14"/>
      <c r="J19" s="15"/>
      <c r="K19" s="160">
        <f t="shared" si="1"/>
        <v>3</v>
      </c>
      <c r="L19" s="14"/>
      <c r="M19" s="14"/>
      <c r="N19" s="15"/>
      <c r="O19" s="119"/>
      <c r="Q19" s="119"/>
      <c r="R19" s="159" t="s">
        <v>54</v>
      </c>
      <c r="S19" s="14"/>
      <c r="T19" s="14"/>
      <c r="U19" s="15"/>
      <c r="V19" s="16">
        <v>15.0</v>
      </c>
      <c r="W19" s="14"/>
      <c r="X19" s="14"/>
      <c r="Y19" s="15"/>
      <c r="Z19" s="160">
        <f t="shared" si="2"/>
        <v>2</v>
      </c>
      <c r="AA19" s="14"/>
      <c r="AB19" s="14"/>
      <c r="AC19" s="15"/>
      <c r="AD19" s="119"/>
      <c r="AF19" s="119"/>
      <c r="AG19" s="159" t="s">
        <v>54</v>
      </c>
      <c r="AH19" s="14"/>
      <c r="AI19" s="14"/>
      <c r="AJ19" s="15"/>
      <c r="AK19" s="16">
        <v>15.0</v>
      </c>
      <c r="AL19" s="14"/>
      <c r="AM19" s="14"/>
      <c r="AN19" s="15"/>
      <c r="AO19" s="160">
        <f t="shared" si="3"/>
        <v>2</v>
      </c>
      <c r="AP19" s="14"/>
      <c r="AQ19" s="14"/>
      <c r="AR19" s="15"/>
      <c r="AS19" s="119"/>
      <c r="AU19" s="119"/>
      <c r="AV19" s="159" t="s">
        <v>54</v>
      </c>
      <c r="AW19" s="14"/>
      <c r="AX19" s="14"/>
      <c r="AY19" s="15"/>
      <c r="AZ19" s="16"/>
      <c r="BA19" s="14"/>
      <c r="BB19" s="14"/>
      <c r="BC19" s="15"/>
      <c r="BD19" s="160">
        <f t="shared" si="4"/>
        <v>-5</v>
      </c>
      <c r="BE19" s="14"/>
      <c r="BF19" s="14"/>
      <c r="BG19" s="15"/>
      <c r="BH19" s="119"/>
    </row>
    <row r="20">
      <c r="B20" s="119"/>
      <c r="C20" s="159" t="s">
        <v>230</v>
      </c>
      <c r="D20" s="14"/>
      <c r="E20" s="14"/>
      <c r="F20" s="15"/>
      <c r="G20" s="16">
        <v>9.0</v>
      </c>
      <c r="H20" s="14"/>
      <c r="I20" s="14"/>
      <c r="J20" s="15"/>
      <c r="K20" s="160">
        <f t="shared" si="1"/>
        <v>-1</v>
      </c>
      <c r="L20" s="14"/>
      <c r="M20" s="14"/>
      <c r="N20" s="15"/>
      <c r="O20" s="119"/>
      <c r="Q20" s="119"/>
      <c r="R20" s="159" t="s">
        <v>230</v>
      </c>
      <c r="S20" s="14"/>
      <c r="T20" s="14"/>
      <c r="U20" s="15"/>
      <c r="V20" s="16">
        <v>8.0</v>
      </c>
      <c r="W20" s="14"/>
      <c r="X20" s="14"/>
      <c r="Y20" s="15"/>
      <c r="Z20" s="160">
        <f t="shared" si="2"/>
        <v>-1</v>
      </c>
      <c r="AA20" s="14"/>
      <c r="AB20" s="14"/>
      <c r="AC20" s="15"/>
      <c r="AD20" s="119"/>
      <c r="AF20" s="119"/>
      <c r="AG20" s="159" t="s">
        <v>230</v>
      </c>
      <c r="AH20" s="14"/>
      <c r="AI20" s="14"/>
      <c r="AJ20" s="15"/>
      <c r="AK20" s="16">
        <v>20.0</v>
      </c>
      <c r="AL20" s="14"/>
      <c r="AM20" s="14"/>
      <c r="AN20" s="15"/>
      <c r="AO20" s="160">
        <f t="shared" si="3"/>
        <v>5</v>
      </c>
      <c r="AP20" s="14"/>
      <c r="AQ20" s="14"/>
      <c r="AR20" s="15"/>
      <c r="AS20" s="119"/>
      <c r="AU20" s="119"/>
      <c r="AV20" s="159" t="s">
        <v>230</v>
      </c>
      <c r="AW20" s="14"/>
      <c r="AX20" s="14"/>
      <c r="AY20" s="15"/>
      <c r="AZ20" s="111"/>
      <c r="BA20" s="14"/>
      <c r="BB20" s="14"/>
      <c r="BC20" s="15"/>
      <c r="BD20" s="160">
        <f t="shared" si="4"/>
        <v>-5</v>
      </c>
      <c r="BE20" s="14"/>
      <c r="BF20" s="14"/>
      <c r="BG20" s="15"/>
      <c r="BH20" s="119"/>
    </row>
    <row r="21">
      <c r="B21" s="119"/>
      <c r="C21" s="159" t="s">
        <v>231</v>
      </c>
      <c r="D21" s="14"/>
      <c r="E21" s="14"/>
      <c r="F21" s="15"/>
      <c r="G21" s="16">
        <v>8.0</v>
      </c>
      <c r="H21" s="14"/>
      <c r="I21" s="14"/>
      <c r="J21" s="15"/>
      <c r="K21" s="160">
        <f t="shared" si="1"/>
        <v>-1</v>
      </c>
      <c r="L21" s="14"/>
      <c r="M21" s="14"/>
      <c r="N21" s="15"/>
      <c r="O21" s="119"/>
      <c r="Q21" s="119"/>
      <c r="R21" s="159" t="s">
        <v>231</v>
      </c>
      <c r="S21" s="14"/>
      <c r="T21" s="14"/>
      <c r="U21" s="15"/>
      <c r="V21" s="16">
        <v>20.0</v>
      </c>
      <c r="W21" s="14"/>
      <c r="X21" s="14"/>
      <c r="Y21" s="15"/>
      <c r="Z21" s="160">
        <f t="shared" si="2"/>
        <v>5</v>
      </c>
      <c r="AA21" s="14"/>
      <c r="AB21" s="14"/>
      <c r="AC21" s="15"/>
      <c r="AD21" s="119"/>
      <c r="AF21" s="119"/>
      <c r="AG21" s="159" t="s">
        <v>231</v>
      </c>
      <c r="AH21" s="14"/>
      <c r="AI21" s="14"/>
      <c r="AJ21" s="15"/>
      <c r="AK21" s="16">
        <v>8.0</v>
      </c>
      <c r="AL21" s="14"/>
      <c r="AM21" s="14"/>
      <c r="AN21" s="15"/>
      <c r="AO21" s="160">
        <f t="shared" si="3"/>
        <v>-1</v>
      </c>
      <c r="AP21" s="14"/>
      <c r="AQ21" s="14"/>
      <c r="AR21" s="15"/>
      <c r="AS21" s="119"/>
      <c r="AU21" s="119"/>
      <c r="AV21" s="159" t="s">
        <v>231</v>
      </c>
      <c r="AW21" s="14"/>
      <c r="AX21" s="14"/>
      <c r="AY21" s="15"/>
      <c r="AZ21" s="111"/>
      <c r="BA21" s="14"/>
      <c r="BB21" s="14"/>
      <c r="BC21" s="15"/>
      <c r="BD21" s="160">
        <f t="shared" si="4"/>
        <v>-5</v>
      </c>
      <c r="BE21" s="14"/>
      <c r="BF21" s="14"/>
      <c r="BG21" s="15"/>
      <c r="BH21" s="119"/>
    </row>
    <row r="22">
      <c r="B22" s="119"/>
      <c r="C22" s="159" t="s">
        <v>232</v>
      </c>
      <c r="D22" s="14"/>
      <c r="E22" s="14"/>
      <c r="F22" s="15"/>
      <c r="G22" s="16">
        <v>18.0</v>
      </c>
      <c r="H22" s="14"/>
      <c r="I22" s="14"/>
      <c r="J22" s="15"/>
      <c r="K22" s="160">
        <f t="shared" si="1"/>
        <v>4</v>
      </c>
      <c r="L22" s="14"/>
      <c r="M22" s="14"/>
      <c r="N22" s="15"/>
      <c r="O22" s="119"/>
      <c r="Q22" s="119"/>
      <c r="R22" s="159" t="s">
        <v>232</v>
      </c>
      <c r="S22" s="14"/>
      <c r="T22" s="14"/>
      <c r="U22" s="15"/>
      <c r="V22" s="16">
        <v>8.0</v>
      </c>
      <c r="W22" s="14"/>
      <c r="X22" s="14"/>
      <c r="Y22" s="15"/>
      <c r="Z22" s="160">
        <f t="shared" si="2"/>
        <v>-1</v>
      </c>
      <c r="AA22" s="14"/>
      <c r="AB22" s="14"/>
      <c r="AC22" s="15"/>
      <c r="AD22" s="119"/>
      <c r="AF22" s="119"/>
      <c r="AG22" s="159" t="s">
        <v>232</v>
      </c>
      <c r="AH22" s="14"/>
      <c r="AI22" s="14"/>
      <c r="AJ22" s="15"/>
      <c r="AK22" s="16">
        <v>8.0</v>
      </c>
      <c r="AL22" s="14"/>
      <c r="AM22" s="14"/>
      <c r="AN22" s="15"/>
      <c r="AO22" s="160">
        <f t="shared" si="3"/>
        <v>-1</v>
      </c>
      <c r="AP22" s="14"/>
      <c r="AQ22" s="14"/>
      <c r="AR22" s="15"/>
      <c r="AS22" s="119"/>
      <c r="AU22" s="119"/>
      <c r="AV22" s="159" t="s">
        <v>232</v>
      </c>
      <c r="AW22" s="14"/>
      <c r="AX22" s="14"/>
      <c r="AY22" s="15"/>
      <c r="AZ22" s="111"/>
      <c r="BA22" s="14"/>
      <c r="BB22" s="14"/>
      <c r="BC22" s="15"/>
      <c r="BD22" s="160">
        <f t="shared" si="4"/>
        <v>-5</v>
      </c>
      <c r="BE22" s="14"/>
      <c r="BF22" s="14"/>
      <c r="BG22" s="15"/>
      <c r="BH22" s="119"/>
    </row>
    <row r="23">
      <c r="B23" s="119"/>
      <c r="C23" s="161" t="s">
        <v>209</v>
      </c>
      <c r="D23" s="14"/>
      <c r="E23" s="14"/>
      <c r="F23" s="15"/>
      <c r="G23" s="16">
        <v>8.0</v>
      </c>
      <c r="H23" s="14"/>
      <c r="I23" s="14"/>
      <c r="J23" s="15"/>
      <c r="K23" s="160">
        <f t="shared" si="1"/>
        <v>-1</v>
      </c>
      <c r="L23" s="14"/>
      <c r="M23" s="14"/>
      <c r="N23" s="15"/>
      <c r="O23" s="119"/>
      <c r="Q23" s="119"/>
      <c r="R23" s="161" t="s">
        <v>209</v>
      </c>
      <c r="S23" s="14"/>
      <c r="T23" s="14"/>
      <c r="U23" s="15"/>
      <c r="V23" s="16">
        <v>8.0</v>
      </c>
      <c r="W23" s="14"/>
      <c r="X23" s="14"/>
      <c r="Y23" s="15"/>
      <c r="Z23" s="160">
        <f t="shared" si="2"/>
        <v>-1</v>
      </c>
      <c r="AA23" s="14"/>
      <c r="AB23" s="14"/>
      <c r="AC23" s="15"/>
      <c r="AD23" s="119"/>
      <c r="AF23" s="119"/>
      <c r="AG23" s="161" t="s">
        <v>209</v>
      </c>
      <c r="AH23" s="14"/>
      <c r="AI23" s="14"/>
      <c r="AJ23" s="15"/>
      <c r="AK23" s="16">
        <v>8.0</v>
      </c>
      <c r="AL23" s="14"/>
      <c r="AM23" s="14"/>
      <c r="AN23" s="15"/>
      <c r="AO23" s="160">
        <f t="shared" si="3"/>
        <v>-1</v>
      </c>
      <c r="AP23" s="14"/>
      <c r="AQ23" s="14"/>
      <c r="AR23" s="15"/>
      <c r="AS23" s="119"/>
      <c r="AU23" s="119"/>
      <c r="AV23" s="161" t="s">
        <v>209</v>
      </c>
      <c r="AW23" s="14"/>
      <c r="AX23" s="14"/>
      <c r="AY23" s="15"/>
      <c r="AZ23" s="111"/>
      <c r="BA23" s="14"/>
      <c r="BB23" s="14"/>
      <c r="BC23" s="15"/>
      <c r="BD23" s="160">
        <f t="shared" si="4"/>
        <v>-5</v>
      </c>
      <c r="BE23" s="14"/>
      <c r="BF23" s="14"/>
      <c r="BG23" s="15"/>
      <c r="BH23" s="119"/>
    </row>
    <row r="24">
      <c r="B24" s="119"/>
      <c r="C24" s="162" t="s">
        <v>233</v>
      </c>
      <c r="D24" s="14"/>
      <c r="E24" s="14"/>
      <c r="F24" s="14"/>
      <c r="G24" s="14"/>
      <c r="H24" s="14"/>
      <c r="I24" s="14"/>
      <c r="J24" s="14"/>
      <c r="K24" s="14"/>
      <c r="L24" s="14"/>
      <c r="M24" s="14"/>
      <c r="N24" s="15"/>
      <c r="O24" s="119"/>
      <c r="Q24" s="119"/>
      <c r="R24" s="162" t="s">
        <v>233</v>
      </c>
      <c r="S24" s="14"/>
      <c r="T24" s="14"/>
      <c r="U24" s="14"/>
      <c r="V24" s="14"/>
      <c r="W24" s="14"/>
      <c r="X24" s="14"/>
      <c r="Y24" s="14"/>
      <c r="Z24" s="14"/>
      <c r="AA24" s="14"/>
      <c r="AB24" s="14"/>
      <c r="AC24" s="15"/>
      <c r="AD24" s="119"/>
      <c r="AF24" s="119"/>
      <c r="AG24" s="162" t="s">
        <v>233</v>
      </c>
      <c r="AH24" s="14"/>
      <c r="AI24" s="14"/>
      <c r="AJ24" s="14"/>
      <c r="AK24" s="14"/>
      <c r="AL24" s="14"/>
      <c r="AM24" s="14"/>
      <c r="AN24" s="14"/>
      <c r="AO24" s="14"/>
      <c r="AP24" s="14"/>
      <c r="AQ24" s="14"/>
      <c r="AR24" s="15"/>
      <c r="AS24" s="119"/>
      <c r="AU24" s="119"/>
      <c r="AV24" s="162" t="s">
        <v>233</v>
      </c>
      <c r="AW24" s="14"/>
      <c r="AX24" s="14"/>
      <c r="AY24" s="14"/>
      <c r="AZ24" s="14"/>
      <c r="BA24" s="14"/>
      <c r="BB24" s="14"/>
      <c r="BC24" s="14"/>
      <c r="BD24" s="14"/>
      <c r="BE24" s="14"/>
      <c r="BF24" s="14"/>
      <c r="BG24" s="15"/>
      <c r="BH24" s="119"/>
    </row>
    <row r="25">
      <c r="B25" s="119"/>
      <c r="C25" s="163" t="s">
        <v>234</v>
      </c>
      <c r="D25" s="14"/>
      <c r="E25" s="14"/>
      <c r="F25" s="14"/>
      <c r="G25" s="14"/>
      <c r="H25" s="15"/>
      <c r="I25" s="164"/>
      <c r="J25" s="14"/>
      <c r="K25" s="14"/>
      <c r="L25" s="14"/>
      <c r="M25" s="14"/>
      <c r="N25" s="15"/>
      <c r="O25" s="119"/>
      <c r="Q25" s="119"/>
      <c r="R25" s="163" t="s">
        <v>235</v>
      </c>
      <c r="S25" s="14"/>
      <c r="T25" s="14"/>
      <c r="U25" s="14"/>
      <c r="V25" s="14"/>
      <c r="W25" s="15"/>
      <c r="X25" s="164"/>
      <c r="Y25" s="14"/>
      <c r="Z25" s="14"/>
      <c r="AA25" s="14"/>
      <c r="AB25" s="14"/>
      <c r="AC25" s="15"/>
      <c r="AD25" s="119"/>
      <c r="AF25" s="119"/>
      <c r="AG25" s="163" t="s">
        <v>236</v>
      </c>
      <c r="AH25" s="14"/>
      <c r="AI25" s="14"/>
      <c r="AJ25" s="14"/>
      <c r="AK25" s="14"/>
      <c r="AL25" s="15"/>
      <c r="AM25" s="164"/>
      <c r="AN25" s="14"/>
      <c r="AO25" s="14"/>
      <c r="AP25" s="14"/>
      <c r="AQ25" s="14"/>
      <c r="AR25" s="15"/>
      <c r="AS25" s="119"/>
      <c r="AU25" s="119"/>
      <c r="AV25" s="164"/>
      <c r="AW25" s="14"/>
      <c r="AX25" s="14"/>
      <c r="AY25" s="14"/>
      <c r="AZ25" s="14"/>
      <c r="BA25" s="15"/>
      <c r="BB25" s="164"/>
      <c r="BC25" s="14"/>
      <c r="BD25" s="14"/>
      <c r="BE25" s="14"/>
      <c r="BF25" s="14"/>
      <c r="BG25" s="15"/>
      <c r="BH25" s="119"/>
    </row>
    <row r="26">
      <c r="B26" s="119"/>
      <c r="C26" s="163" t="s">
        <v>237</v>
      </c>
      <c r="D26" s="14"/>
      <c r="E26" s="14"/>
      <c r="F26" s="14"/>
      <c r="G26" s="14"/>
      <c r="H26" s="15"/>
      <c r="I26" s="164"/>
      <c r="J26" s="14"/>
      <c r="K26" s="14"/>
      <c r="L26" s="14"/>
      <c r="M26" s="14"/>
      <c r="N26" s="15"/>
      <c r="O26" s="119"/>
      <c r="Q26" s="119"/>
      <c r="R26" s="163" t="s">
        <v>238</v>
      </c>
      <c r="S26" s="14"/>
      <c r="T26" s="14"/>
      <c r="U26" s="14"/>
      <c r="V26" s="14"/>
      <c r="W26" s="15"/>
      <c r="X26" s="164"/>
      <c r="Y26" s="14"/>
      <c r="Z26" s="14"/>
      <c r="AA26" s="14"/>
      <c r="AB26" s="14"/>
      <c r="AC26" s="15"/>
      <c r="AD26" s="119"/>
      <c r="AF26" s="119"/>
      <c r="AG26" s="163" t="s">
        <v>239</v>
      </c>
      <c r="AH26" s="14"/>
      <c r="AI26" s="14"/>
      <c r="AJ26" s="14"/>
      <c r="AK26" s="14"/>
      <c r="AL26" s="15"/>
      <c r="AM26" s="164"/>
      <c r="AN26" s="14"/>
      <c r="AO26" s="14"/>
      <c r="AP26" s="14"/>
      <c r="AQ26" s="14"/>
      <c r="AR26" s="15"/>
      <c r="AS26" s="119"/>
      <c r="AU26" s="119"/>
      <c r="AV26" s="164"/>
      <c r="AW26" s="14"/>
      <c r="AX26" s="14"/>
      <c r="AY26" s="14"/>
      <c r="AZ26" s="14"/>
      <c r="BA26" s="15"/>
      <c r="BB26" s="164"/>
      <c r="BC26" s="14"/>
      <c r="BD26" s="14"/>
      <c r="BE26" s="14"/>
      <c r="BF26" s="14"/>
      <c r="BG26" s="15"/>
      <c r="BH26" s="119"/>
    </row>
    <row r="27">
      <c r="B27" s="119"/>
      <c r="C27" s="163" t="s">
        <v>240</v>
      </c>
      <c r="D27" s="14"/>
      <c r="E27" s="14"/>
      <c r="F27" s="14"/>
      <c r="G27" s="14"/>
      <c r="H27" s="15"/>
      <c r="I27" s="164"/>
      <c r="J27" s="14"/>
      <c r="K27" s="14"/>
      <c r="L27" s="14"/>
      <c r="M27" s="14"/>
      <c r="N27" s="15"/>
      <c r="O27" s="119"/>
      <c r="Q27" s="119"/>
      <c r="R27" s="163" t="s">
        <v>241</v>
      </c>
      <c r="S27" s="14"/>
      <c r="T27" s="14"/>
      <c r="U27" s="14"/>
      <c r="V27" s="14"/>
      <c r="W27" s="15"/>
      <c r="X27" s="164"/>
      <c r="Y27" s="14"/>
      <c r="Z27" s="14"/>
      <c r="AA27" s="14"/>
      <c r="AB27" s="14"/>
      <c r="AC27" s="15"/>
      <c r="AD27" s="119"/>
      <c r="AF27" s="119"/>
      <c r="AG27" s="164"/>
      <c r="AH27" s="14"/>
      <c r="AI27" s="14"/>
      <c r="AJ27" s="14"/>
      <c r="AK27" s="14"/>
      <c r="AL27" s="15"/>
      <c r="AM27" s="164"/>
      <c r="AN27" s="14"/>
      <c r="AO27" s="14"/>
      <c r="AP27" s="14"/>
      <c r="AQ27" s="14"/>
      <c r="AR27" s="15"/>
      <c r="AS27" s="119"/>
      <c r="AU27" s="119"/>
      <c r="AV27" s="164"/>
      <c r="AW27" s="14"/>
      <c r="AX27" s="14"/>
      <c r="AY27" s="14"/>
      <c r="AZ27" s="14"/>
      <c r="BA27" s="15"/>
      <c r="BB27" s="164"/>
      <c r="BC27" s="14"/>
      <c r="BD27" s="14"/>
      <c r="BE27" s="14"/>
      <c r="BF27" s="14"/>
      <c r="BG27" s="15"/>
      <c r="BH27" s="119"/>
    </row>
    <row r="28">
      <c r="B28" s="119"/>
      <c r="C28" s="163" t="s">
        <v>242</v>
      </c>
      <c r="D28" s="14"/>
      <c r="E28" s="14"/>
      <c r="F28" s="14"/>
      <c r="G28" s="14"/>
      <c r="H28" s="15"/>
      <c r="I28" s="164"/>
      <c r="J28" s="14"/>
      <c r="K28" s="14"/>
      <c r="L28" s="14"/>
      <c r="M28" s="14"/>
      <c r="N28" s="15"/>
      <c r="O28" s="119"/>
      <c r="Q28" s="119"/>
      <c r="R28" s="163" t="s">
        <v>243</v>
      </c>
      <c r="S28" s="14"/>
      <c r="T28" s="14"/>
      <c r="U28" s="14"/>
      <c r="V28" s="14"/>
      <c r="W28" s="15"/>
      <c r="X28" s="164"/>
      <c r="Y28" s="14"/>
      <c r="Z28" s="14"/>
      <c r="AA28" s="14"/>
      <c r="AB28" s="14"/>
      <c r="AC28" s="15"/>
      <c r="AD28" s="119"/>
      <c r="AF28" s="119"/>
      <c r="AG28" s="164"/>
      <c r="AH28" s="14"/>
      <c r="AI28" s="14"/>
      <c r="AJ28" s="14"/>
      <c r="AK28" s="14"/>
      <c r="AL28" s="15"/>
      <c r="AM28" s="164"/>
      <c r="AN28" s="14"/>
      <c r="AO28" s="14"/>
      <c r="AP28" s="14"/>
      <c r="AQ28" s="14"/>
      <c r="AR28" s="15"/>
      <c r="AS28" s="119"/>
      <c r="AU28" s="119"/>
      <c r="AV28" s="164"/>
      <c r="AW28" s="14"/>
      <c r="AX28" s="14"/>
      <c r="AY28" s="14"/>
      <c r="AZ28" s="14"/>
      <c r="BA28" s="15"/>
      <c r="BB28" s="164"/>
      <c r="BC28" s="14"/>
      <c r="BD28" s="14"/>
      <c r="BE28" s="14"/>
      <c r="BF28" s="14"/>
      <c r="BG28" s="15"/>
      <c r="BH28" s="119"/>
    </row>
    <row r="29">
      <c r="B29" s="119"/>
      <c r="C29" s="164"/>
      <c r="D29" s="14"/>
      <c r="E29" s="14"/>
      <c r="F29" s="14"/>
      <c r="G29" s="14"/>
      <c r="H29" s="15"/>
      <c r="I29" s="164"/>
      <c r="J29" s="14"/>
      <c r="K29" s="14"/>
      <c r="L29" s="14"/>
      <c r="M29" s="14"/>
      <c r="N29" s="15"/>
      <c r="O29" s="119"/>
      <c r="Q29" s="119"/>
      <c r="R29" s="164"/>
      <c r="S29" s="14"/>
      <c r="T29" s="14"/>
      <c r="U29" s="14"/>
      <c r="V29" s="14"/>
      <c r="W29" s="15"/>
      <c r="X29" s="164"/>
      <c r="Y29" s="14"/>
      <c r="Z29" s="14"/>
      <c r="AA29" s="14"/>
      <c r="AB29" s="14"/>
      <c r="AC29" s="15"/>
      <c r="AD29" s="119"/>
      <c r="AF29" s="119"/>
      <c r="AG29" s="164"/>
      <c r="AH29" s="14"/>
      <c r="AI29" s="14"/>
      <c r="AJ29" s="14"/>
      <c r="AK29" s="14"/>
      <c r="AL29" s="15"/>
      <c r="AM29" s="164"/>
      <c r="AN29" s="14"/>
      <c r="AO29" s="14"/>
      <c r="AP29" s="14"/>
      <c r="AQ29" s="14"/>
      <c r="AR29" s="15"/>
      <c r="AS29" s="119"/>
      <c r="AU29" s="119"/>
      <c r="AV29" s="164"/>
      <c r="AW29" s="14"/>
      <c r="AX29" s="14"/>
      <c r="AY29" s="14"/>
      <c r="AZ29" s="14"/>
      <c r="BA29" s="15"/>
      <c r="BB29" s="164"/>
      <c r="BC29" s="14"/>
      <c r="BD29" s="14"/>
      <c r="BE29" s="14"/>
      <c r="BF29" s="14"/>
      <c r="BG29" s="15"/>
      <c r="BH29" s="119"/>
    </row>
    <row r="30">
      <c r="B30" s="119"/>
      <c r="C30" s="157" t="s">
        <v>244</v>
      </c>
      <c r="D30" s="14"/>
      <c r="E30" s="14"/>
      <c r="F30" s="14"/>
      <c r="G30" s="14"/>
      <c r="H30" s="14"/>
      <c r="I30" s="14"/>
      <c r="J30" s="14"/>
      <c r="K30" s="14"/>
      <c r="L30" s="14"/>
      <c r="M30" s="14"/>
      <c r="N30" s="15"/>
      <c r="O30" s="119"/>
      <c r="Q30" s="119"/>
      <c r="R30" s="157" t="s">
        <v>244</v>
      </c>
      <c r="S30" s="14"/>
      <c r="T30" s="14"/>
      <c r="U30" s="14"/>
      <c r="V30" s="14"/>
      <c r="W30" s="14"/>
      <c r="X30" s="14"/>
      <c r="Y30" s="14"/>
      <c r="Z30" s="14"/>
      <c r="AA30" s="14"/>
      <c r="AB30" s="14"/>
      <c r="AC30" s="15"/>
      <c r="AD30" s="119"/>
      <c r="AF30" s="119"/>
      <c r="AG30" s="157" t="s">
        <v>244</v>
      </c>
      <c r="AH30" s="14"/>
      <c r="AI30" s="14"/>
      <c r="AJ30" s="14"/>
      <c r="AK30" s="14"/>
      <c r="AL30" s="14"/>
      <c r="AM30" s="14"/>
      <c r="AN30" s="14"/>
      <c r="AO30" s="14"/>
      <c r="AP30" s="14"/>
      <c r="AQ30" s="14"/>
      <c r="AR30" s="15"/>
      <c r="AS30" s="119"/>
      <c r="AU30" s="119"/>
      <c r="AV30" s="157" t="s">
        <v>244</v>
      </c>
      <c r="AW30" s="14"/>
      <c r="AX30" s="14"/>
      <c r="AY30" s="14"/>
      <c r="AZ30" s="14"/>
      <c r="BA30" s="14"/>
      <c r="BB30" s="14"/>
      <c r="BC30" s="14"/>
      <c r="BD30" s="14"/>
      <c r="BE30" s="14"/>
      <c r="BF30" s="14"/>
      <c r="BG30" s="15"/>
      <c r="BH30" s="119"/>
    </row>
    <row r="31">
      <c r="B31" s="119"/>
      <c r="C31" s="53" t="s">
        <v>47</v>
      </c>
      <c r="D31" s="14"/>
      <c r="E31" s="14"/>
      <c r="F31" s="15"/>
      <c r="G31" s="165" t="s">
        <v>81</v>
      </c>
      <c r="H31" s="14"/>
      <c r="I31" s="15"/>
      <c r="J31" s="112" t="s">
        <v>60</v>
      </c>
      <c r="K31" s="15"/>
      <c r="L31" s="53" t="s">
        <v>245</v>
      </c>
      <c r="M31" s="14"/>
      <c r="N31" s="15"/>
      <c r="O31" s="119"/>
      <c r="Q31" s="119"/>
      <c r="R31" s="53" t="s">
        <v>47</v>
      </c>
      <c r="S31" s="14"/>
      <c r="T31" s="14"/>
      <c r="U31" s="15"/>
      <c r="V31" s="165" t="s">
        <v>81</v>
      </c>
      <c r="W31" s="14"/>
      <c r="X31" s="15"/>
      <c r="Y31" s="112" t="s">
        <v>60</v>
      </c>
      <c r="Z31" s="15"/>
      <c r="AA31" s="53" t="s">
        <v>245</v>
      </c>
      <c r="AB31" s="14"/>
      <c r="AC31" s="15"/>
      <c r="AD31" s="119"/>
      <c r="AF31" s="119"/>
      <c r="AG31" s="53" t="s">
        <v>47</v>
      </c>
      <c r="AH31" s="14"/>
      <c r="AI31" s="14"/>
      <c r="AJ31" s="15"/>
      <c r="AK31" s="165" t="s">
        <v>81</v>
      </c>
      <c r="AL31" s="14"/>
      <c r="AM31" s="15"/>
      <c r="AN31" s="112" t="s">
        <v>60</v>
      </c>
      <c r="AO31" s="15"/>
      <c r="AP31" s="53" t="s">
        <v>245</v>
      </c>
      <c r="AQ31" s="14"/>
      <c r="AR31" s="15"/>
      <c r="AS31" s="119"/>
      <c r="AU31" s="119"/>
      <c r="AV31" s="53" t="s">
        <v>47</v>
      </c>
      <c r="AW31" s="14"/>
      <c r="AX31" s="14"/>
      <c r="AY31" s="15"/>
      <c r="AZ31" s="165" t="s">
        <v>81</v>
      </c>
      <c r="BA31" s="14"/>
      <c r="BB31" s="15"/>
      <c r="BC31" s="112" t="s">
        <v>60</v>
      </c>
      <c r="BD31" s="15"/>
      <c r="BE31" s="53" t="s">
        <v>245</v>
      </c>
      <c r="BF31" s="14"/>
      <c r="BG31" s="15"/>
      <c r="BH31" s="119"/>
    </row>
    <row r="32">
      <c r="B32" s="119"/>
      <c r="C32" s="163" t="s">
        <v>246</v>
      </c>
      <c r="D32" s="14"/>
      <c r="E32" s="14"/>
      <c r="F32" s="15"/>
      <c r="G32" s="163" t="s">
        <v>247</v>
      </c>
      <c r="H32" s="14"/>
      <c r="I32" s="15"/>
      <c r="J32" s="166">
        <v>3.0</v>
      </c>
      <c r="K32" s="15"/>
      <c r="L32" s="167">
        <v>6.0</v>
      </c>
      <c r="M32" s="14"/>
      <c r="N32" s="15"/>
      <c r="O32" s="119"/>
      <c r="Q32" s="119"/>
      <c r="R32" s="163" t="s">
        <v>246</v>
      </c>
      <c r="S32" s="14"/>
      <c r="T32" s="14"/>
      <c r="U32" s="15"/>
      <c r="V32" s="163" t="s">
        <v>247</v>
      </c>
      <c r="W32" s="14"/>
      <c r="X32" s="15"/>
      <c r="Y32" s="166">
        <v>3.0</v>
      </c>
      <c r="Z32" s="15"/>
      <c r="AA32" s="167">
        <v>8.0</v>
      </c>
      <c r="AB32" s="14"/>
      <c r="AC32" s="15"/>
      <c r="AD32" s="119"/>
      <c r="AF32" s="119"/>
      <c r="AG32" s="163" t="s">
        <v>248</v>
      </c>
      <c r="AH32" s="14"/>
      <c r="AI32" s="14"/>
      <c r="AJ32" s="15"/>
      <c r="AK32" s="163" t="s">
        <v>249</v>
      </c>
      <c r="AL32" s="14"/>
      <c r="AM32" s="15"/>
      <c r="AN32" s="166">
        <v>3.0</v>
      </c>
      <c r="AO32" s="15"/>
      <c r="AP32" s="167">
        <v>5.0</v>
      </c>
      <c r="AQ32" s="14"/>
      <c r="AR32" s="15"/>
      <c r="AS32" s="119"/>
      <c r="AU32" s="119"/>
      <c r="AV32" s="164"/>
      <c r="AW32" s="14"/>
      <c r="AX32" s="14"/>
      <c r="AY32" s="15"/>
      <c r="AZ32" s="164"/>
      <c r="BA32" s="14"/>
      <c r="BB32" s="15"/>
      <c r="BC32" s="166"/>
      <c r="BD32" s="15"/>
      <c r="BE32" s="168"/>
      <c r="BF32" s="14"/>
      <c r="BG32" s="15"/>
      <c r="BH32" s="119"/>
    </row>
    <row r="33">
      <c r="B33" s="119"/>
      <c r="C33" s="163" t="s">
        <v>250</v>
      </c>
      <c r="D33" s="14"/>
      <c r="E33" s="14"/>
      <c r="F33" s="15"/>
      <c r="G33" s="163" t="s">
        <v>247</v>
      </c>
      <c r="H33" s="14"/>
      <c r="I33" s="15"/>
      <c r="J33" s="166">
        <v>3.0</v>
      </c>
      <c r="K33" s="15"/>
      <c r="L33" s="167">
        <v>6.0</v>
      </c>
      <c r="M33" s="14"/>
      <c r="N33" s="15"/>
      <c r="O33" s="119"/>
      <c r="Q33" s="119"/>
      <c r="R33" s="163" t="s">
        <v>251</v>
      </c>
      <c r="S33" s="14"/>
      <c r="T33" s="14"/>
      <c r="U33" s="15"/>
      <c r="V33" s="163" t="s">
        <v>252</v>
      </c>
      <c r="W33" s="14"/>
      <c r="X33" s="15"/>
      <c r="Y33" s="166">
        <v>3.0</v>
      </c>
      <c r="Z33" s="15"/>
      <c r="AA33" s="167">
        <v>5.0</v>
      </c>
      <c r="AB33" s="14"/>
      <c r="AC33" s="15"/>
      <c r="AD33" s="119"/>
      <c r="AF33" s="119"/>
      <c r="AG33" s="163" t="s">
        <v>253</v>
      </c>
      <c r="AH33" s="14"/>
      <c r="AI33" s="14"/>
      <c r="AJ33" s="15"/>
      <c r="AK33" s="163" t="s">
        <v>254</v>
      </c>
      <c r="AL33" s="14"/>
      <c r="AM33" s="15"/>
      <c r="AN33" s="166">
        <v>3.0</v>
      </c>
      <c r="AO33" s="15"/>
      <c r="AP33" s="167">
        <v>11.0</v>
      </c>
      <c r="AQ33" s="14"/>
      <c r="AR33" s="15"/>
      <c r="AS33" s="119"/>
      <c r="AU33" s="119"/>
      <c r="AV33" s="164"/>
      <c r="AW33" s="14"/>
      <c r="AX33" s="14"/>
      <c r="AY33" s="15"/>
      <c r="AZ33" s="164"/>
      <c r="BA33" s="14"/>
      <c r="BB33" s="15"/>
      <c r="BC33" s="166"/>
      <c r="BD33" s="15"/>
      <c r="BE33" s="168"/>
      <c r="BF33" s="14"/>
      <c r="BG33" s="15"/>
      <c r="BH33" s="119"/>
    </row>
    <row r="34">
      <c r="B34" s="119"/>
      <c r="C34" s="163" t="s">
        <v>255</v>
      </c>
      <c r="D34" s="14"/>
      <c r="E34" s="14"/>
      <c r="F34" s="15"/>
      <c r="G34" s="163" t="s">
        <v>247</v>
      </c>
      <c r="H34" s="14"/>
      <c r="I34" s="15"/>
      <c r="J34" s="166">
        <v>3.0</v>
      </c>
      <c r="K34" s="15"/>
      <c r="L34" s="167">
        <v>6.0</v>
      </c>
      <c r="M34" s="14"/>
      <c r="N34" s="15"/>
      <c r="O34" s="119"/>
      <c r="Q34" s="119"/>
      <c r="R34" s="163" t="s">
        <v>256</v>
      </c>
      <c r="S34" s="14"/>
      <c r="T34" s="14"/>
      <c r="U34" s="15"/>
      <c r="V34" s="163" t="s">
        <v>257</v>
      </c>
      <c r="W34" s="14"/>
      <c r="X34" s="15"/>
      <c r="Y34" s="166">
        <v>3.0</v>
      </c>
      <c r="Z34" s="15"/>
      <c r="AA34" s="167">
        <v>11.0</v>
      </c>
      <c r="AB34" s="14"/>
      <c r="AC34" s="15"/>
      <c r="AD34" s="119"/>
      <c r="AF34" s="119"/>
      <c r="AG34" s="163" t="s">
        <v>258</v>
      </c>
      <c r="AH34" s="14"/>
      <c r="AI34" s="14"/>
      <c r="AJ34" s="15"/>
      <c r="AK34" s="163" t="s">
        <v>259</v>
      </c>
      <c r="AL34" s="14"/>
      <c r="AM34" s="15"/>
      <c r="AN34" s="166">
        <v>3.0</v>
      </c>
      <c r="AO34" s="15"/>
      <c r="AP34" s="167">
        <v>5.0</v>
      </c>
      <c r="AQ34" s="14"/>
      <c r="AR34" s="15"/>
      <c r="AS34" s="119"/>
      <c r="AU34" s="119"/>
      <c r="AV34" s="164"/>
      <c r="AW34" s="14"/>
      <c r="AX34" s="14"/>
      <c r="AY34" s="15"/>
      <c r="AZ34" s="164"/>
      <c r="BA34" s="14"/>
      <c r="BB34" s="15"/>
      <c r="BC34" s="166"/>
      <c r="BD34" s="15"/>
      <c r="BE34" s="168"/>
      <c r="BF34" s="14"/>
      <c r="BG34" s="15"/>
      <c r="BH34" s="119"/>
    </row>
    <row r="35">
      <c r="B35" s="119"/>
      <c r="C35" s="163" t="s">
        <v>260</v>
      </c>
      <c r="D35" s="14"/>
      <c r="E35" s="14"/>
      <c r="F35" s="15"/>
      <c r="G35" s="163" t="s">
        <v>252</v>
      </c>
      <c r="H35" s="14"/>
      <c r="I35" s="15"/>
      <c r="J35" s="166">
        <v>3.0</v>
      </c>
      <c r="K35" s="15"/>
      <c r="L35" s="167">
        <v>7.0</v>
      </c>
      <c r="M35" s="14"/>
      <c r="N35" s="15"/>
      <c r="O35" s="119"/>
      <c r="Q35" s="119"/>
      <c r="R35" s="163" t="s">
        <v>261</v>
      </c>
      <c r="S35" s="14"/>
      <c r="T35" s="14"/>
      <c r="U35" s="15"/>
      <c r="V35" s="163" t="s">
        <v>257</v>
      </c>
      <c r="W35" s="14"/>
      <c r="X35" s="15"/>
      <c r="Y35" s="166">
        <v>3.0</v>
      </c>
      <c r="Z35" s="15"/>
      <c r="AA35" s="167">
        <v>11.0</v>
      </c>
      <c r="AB35" s="14"/>
      <c r="AC35" s="15"/>
      <c r="AD35" s="119"/>
      <c r="AF35" s="119"/>
      <c r="AG35" s="163" t="s">
        <v>262</v>
      </c>
      <c r="AH35" s="14"/>
      <c r="AI35" s="14"/>
      <c r="AJ35" s="15"/>
      <c r="AK35" s="163" t="s">
        <v>252</v>
      </c>
      <c r="AL35" s="14"/>
      <c r="AM35" s="15"/>
      <c r="AN35" s="166">
        <v>3.0</v>
      </c>
      <c r="AO35" s="15"/>
      <c r="AP35" s="167">
        <v>5.0</v>
      </c>
      <c r="AQ35" s="14"/>
      <c r="AR35" s="15"/>
      <c r="AS35" s="119"/>
      <c r="AU35" s="119"/>
      <c r="AV35" s="164"/>
      <c r="AW35" s="14"/>
      <c r="AX35" s="14"/>
      <c r="AY35" s="15"/>
      <c r="AZ35" s="164"/>
      <c r="BA35" s="14"/>
      <c r="BB35" s="15"/>
      <c r="BC35" s="166"/>
      <c r="BD35" s="15"/>
      <c r="BE35" s="168"/>
      <c r="BF35" s="14"/>
      <c r="BG35" s="15"/>
      <c r="BH35" s="119"/>
    </row>
    <row r="36">
      <c r="B36" s="119"/>
      <c r="C36" s="163" t="s">
        <v>263</v>
      </c>
      <c r="D36" s="14"/>
      <c r="E36" s="14"/>
      <c r="F36" s="15"/>
      <c r="G36" s="163" t="s">
        <v>252</v>
      </c>
      <c r="H36" s="14"/>
      <c r="I36" s="15"/>
      <c r="J36" s="166">
        <v>3.0</v>
      </c>
      <c r="K36" s="15"/>
      <c r="L36" s="167">
        <v>7.0</v>
      </c>
      <c r="M36" s="14"/>
      <c r="N36" s="15"/>
      <c r="O36" s="119"/>
      <c r="Q36" s="119"/>
      <c r="R36" s="163" t="s">
        <v>264</v>
      </c>
      <c r="S36" s="14"/>
      <c r="T36" s="14"/>
      <c r="U36" s="15"/>
      <c r="V36" s="163" t="s">
        <v>257</v>
      </c>
      <c r="W36" s="14"/>
      <c r="X36" s="15"/>
      <c r="Y36" s="166">
        <v>3.0</v>
      </c>
      <c r="Z36" s="15"/>
      <c r="AA36" s="167">
        <v>11.0</v>
      </c>
      <c r="AB36" s="14"/>
      <c r="AC36" s="15"/>
      <c r="AD36" s="119"/>
      <c r="AF36" s="119"/>
      <c r="AG36" s="163" t="s">
        <v>260</v>
      </c>
      <c r="AH36" s="14"/>
      <c r="AI36" s="14"/>
      <c r="AJ36" s="15"/>
      <c r="AK36" s="163" t="s">
        <v>252</v>
      </c>
      <c r="AL36" s="14"/>
      <c r="AM36" s="15"/>
      <c r="AN36" s="166">
        <v>3.0</v>
      </c>
      <c r="AO36" s="15"/>
      <c r="AP36" s="167">
        <v>5.0</v>
      </c>
      <c r="AQ36" s="14"/>
      <c r="AR36" s="15"/>
      <c r="AS36" s="119"/>
      <c r="AU36" s="119"/>
      <c r="AV36" s="164"/>
      <c r="AW36" s="14"/>
      <c r="AX36" s="14"/>
      <c r="AY36" s="15"/>
      <c r="AZ36" s="164"/>
      <c r="BA36" s="14"/>
      <c r="BB36" s="15"/>
      <c r="BC36" s="166"/>
      <c r="BD36" s="15"/>
      <c r="BE36" s="168"/>
      <c r="BF36" s="14"/>
      <c r="BG36" s="15"/>
      <c r="BH36" s="119"/>
    </row>
    <row r="37">
      <c r="B37" s="119"/>
      <c r="C37" s="164"/>
      <c r="D37" s="14"/>
      <c r="E37" s="14"/>
      <c r="F37" s="15"/>
      <c r="G37" s="164"/>
      <c r="H37" s="14"/>
      <c r="I37" s="15"/>
      <c r="J37" s="166"/>
      <c r="K37" s="15"/>
      <c r="L37" s="168"/>
      <c r="M37" s="14"/>
      <c r="N37" s="15"/>
      <c r="O37" s="119"/>
      <c r="Q37" s="119"/>
      <c r="R37" s="164"/>
      <c r="S37" s="14"/>
      <c r="T37" s="14"/>
      <c r="U37" s="15"/>
      <c r="V37" s="164"/>
      <c r="W37" s="14"/>
      <c r="X37" s="15"/>
      <c r="Y37" s="166"/>
      <c r="Z37" s="15"/>
      <c r="AA37" s="168"/>
      <c r="AB37" s="14"/>
      <c r="AC37" s="15"/>
      <c r="AD37" s="119"/>
      <c r="AF37" s="119"/>
      <c r="AG37" s="164"/>
      <c r="AH37" s="14"/>
      <c r="AI37" s="14"/>
      <c r="AJ37" s="15"/>
      <c r="AK37" s="164"/>
      <c r="AL37" s="14"/>
      <c r="AM37" s="15"/>
      <c r="AN37" s="166"/>
      <c r="AO37" s="15"/>
      <c r="AP37" s="168"/>
      <c r="AQ37" s="14"/>
      <c r="AR37" s="15"/>
      <c r="AS37" s="119"/>
      <c r="AU37" s="119"/>
      <c r="AV37" s="164"/>
      <c r="AW37" s="14"/>
      <c r="AX37" s="14"/>
      <c r="AY37" s="15"/>
      <c r="AZ37" s="164"/>
      <c r="BA37" s="14"/>
      <c r="BB37" s="15"/>
      <c r="BC37" s="166"/>
      <c r="BD37" s="15"/>
      <c r="BE37" s="168"/>
      <c r="BF37" s="14"/>
      <c r="BG37" s="15"/>
      <c r="BH37" s="119"/>
    </row>
    <row r="38">
      <c r="B38" s="119"/>
      <c r="C38" s="164"/>
      <c r="D38" s="14"/>
      <c r="E38" s="14"/>
      <c r="F38" s="15"/>
      <c r="G38" s="164"/>
      <c r="H38" s="14"/>
      <c r="I38" s="15"/>
      <c r="J38" s="166"/>
      <c r="K38" s="15"/>
      <c r="L38" s="168"/>
      <c r="M38" s="14"/>
      <c r="N38" s="15"/>
      <c r="O38" s="119"/>
      <c r="Q38" s="119"/>
      <c r="R38" s="164"/>
      <c r="S38" s="14"/>
      <c r="T38" s="14"/>
      <c r="U38" s="15"/>
      <c r="V38" s="164"/>
      <c r="W38" s="14"/>
      <c r="X38" s="15"/>
      <c r="Y38" s="166"/>
      <c r="Z38" s="15"/>
      <c r="AA38" s="168"/>
      <c r="AB38" s="14"/>
      <c r="AC38" s="15"/>
      <c r="AD38" s="119"/>
      <c r="AF38" s="119"/>
      <c r="AG38" s="164"/>
      <c r="AH38" s="14"/>
      <c r="AI38" s="14"/>
      <c r="AJ38" s="15"/>
      <c r="AK38" s="164"/>
      <c r="AL38" s="14"/>
      <c r="AM38" s="15"/>
      <c r="AN38" s="166"/>
      <c r="AO38" s="15"/>
      <c r="AP38" s="168"/>
      <c r="AQ38" s="14"/>
      <c r="AR38" s="15"/>
      <c r="AS38" s="119"/>
      <c r="AU38" s="119"/>
      <c r="AV38" s="164"/>
      <c r="AW38" s="14"/>
      <c r="AX38" s="14"/>
      <c r="AY38" s="15"/>
      <c r="AZ38" s="164"/>
      <c r="BA38" s="14"/>
      <c r="BB38" s="15"/>
      <c r="BC38" s="166"/>
      <c r="BD38" s="15"/>
      <c r="BE38" s="168"/>
      <c r="BF38" s="14"/>
      <c r="BG38" s="15"/>
      <c r="BH38" s="119"/>
    </row>
    <row r="39">
      <c r="B39" s="119"/>
      <c r="C39" s="164"/>
      <c r="D39" s="14"/>
      <c r="E39" s="14"/>
      <c r="F39" s="15"/>
      <c r="G39" s="164"/>
      <c r="H39" s="14"/>
      <c r="I39" s="15"/>
      <c r="J39" s="166"/>
      <c r="K39" s="15"/>
      <c r="L39" s="168"/>
      <c r="M39" s="14"/>
      <c r="N39" s="15"/>
      <c r="O39" s="119"/>
      <c r="Q39" s="119"/>
      <c r="R39" s="164"/>
      <c r="S39" s="14"/>
      <c r="T39" s="14"/>
      <c r="U39" s="15"/>
      <c r="V39" s="164"/>
      <c r="W39" s="14"/>
      <c r="X39" s="15"/>
      <c r="Y39" s="166"/>
      <c r="Z39" s="15"/>
      <c r="AA39" s="168"/>
      <c r="AB39" s="14"/>
      <c r="AC39" s="15"/>
      <c r="AD39" s="119"/>
      <c r="AF39" s="119"/>
      <c r="AG39" s="164"/>
      <c r="AH39" s="14"/>
      <c r="AI39" s="14"/>
      <c r="AJ39" s="15"/>
      <c r="AK39" s="164"/>
      <c r="AL39" s="14"/>
      <c r="AM39" s="15"/>
      <c r="AN39" s="166"/>
      <c r="AO39" s="15"/>
      <c r="AP39" s="168"/>
      <c r="AQ39" s="14"/>
      <c r="AR39" s="15"/>
      <c r="AS39" s="119"/>
      <c r="AU39" s="119"/>
      <c r="AV39" s="164"/>
      <c r="AW39" s="14"/>
      <c r="AX39" s="14"/>
      <c r="AY39" s="15"/>
      <c r="AZ39" s="164"/>
      <c r="BA39" s="14"/>
      <c r="BB39" s="15"/>
      <c r="BC39" s="166"/>
      <c r="BD39" s="15"/>
      <c r="BE39" s="168"/>
      <c r="BF39" s="14"/>
      <c r="BG39" s="15"/>
      <c r="BH39" s="119"/>
    </row>
    <row r="40">
      <c r="B40" s="119"/>
      <c r="C40" s="164"/>
      <c r="D40" s="14"/>
      <c r="E40" s="14"/>
      <c r="F40" s="15"/>
      <c r="G40" s="164"/>
      <c r="H40" s="14"/>
      <c r="I40" s="15"/>
      <c r="J40" s="166"/>
      <c r="K40" s="15"/>
      <c r="L40" s="168"/>
      <c r="M40" s="14"/>
      <c r="N40" s="15"/>
      <c r="O40" s="119"/>
      <c r="Q40" s="119"/>
      <c r="R40" s="164"/>
      <c r="S40" s="14"/>
      <c r="T40" s="14"/>
      <c r="U40" s="15"/>
      <c r="V40" s="164"/>
      <c r="W40" s="14"/>
      <c r="X40" s="15"/>
      <c r="Y40" s="166"/>
      <c r="Z40" s="15"/>
      <c r="AA40" s="168"/>
      <c r="AB40" s="14"/>
      <c r="AC40" s="15"/>
      <c r="AD40" s="119"/>
      <c r="AF40" s="119"/>
      <c r="AG40" s="164"/>
      <c r="AH40" s="14"/>
      <c r="AI40" s="14"/>
      <c r="AJ40" s="15"/>
      <c r="AK40" s="164"/>
      <c r="AL40" s="14"/>
      <c r="AM40" s="15"/>
      <c r="AN40" s="166"/>
      <c r="AO40" s="15"/>
      <c r="AP40" s="168"/>
      <c r="AQ40" s="14"/>
      <c r="AR40" s="15"/>
      <c r="AS40" s="119"/>
      <c r="AU40" s="119"/>
      <c r="AV40" s="164"/>
      <c r="AW40" s="14"/>
      <c r="AX40" s="14"/>
      <c r="AY40" s="15"/>
      <c r="AZ40" s="164"/>
      <c r="BA40" s="14"/>
      <c r="BB40" s="15"/>
      <c r="BC40" s="166"/>
      <c r="BD40" s="15"/>
      <c r="BE40" s="168"/>
      <c r="BF40" s="14"/>
      <c r="BG40" s="15"/>
      <c r="BH40" s="119"/>
    </row>
    <row r="41">
      <c r="B41" s="119"/>
      <c r="C41" s="169"/>
      <c r="D41" s="14"/>
      <c r="E41" s="14"/>
      <c r="F41" s="15"/>
      <c r="G41" s="169"/>
      <c r="H41" s="14"/>
      <c r="I41" s="15"/>
      <c r="J41" s="166"/>
      <c r="K41" s="15"/>
      <c r="L41" s="168"/>
      <c r="M41" s="14"/>
      <c r="N41" s="15"/>
      <c r="O41" s="119"/>
      <c r="Q41" s="119"/>
      <c r="R41" s="169"/>
      <c r="S41" s="14"/>
      <c r="T41" s="14"/>
      <c r="U41" s="15"/>
      <c r="V41" s="169"/>
      <c r="W41" s="14"/>
      <c r="X41" s="15"/>
      <c r="Y41" s="166"/>
      <c r="Z41" s="15"/>
      <c r="AA41" s="168"/>
      <c r="AB41" s="14"/>
      <c r="AC41" s="15"/>
      <c r="AD41" s="119"/>
      <c r="AF41" s="119"/>
      <c r="AG41" s="169"/>
      <c r="AH41" s="14"/>
      <c r="AI41" s="14"/>
      <c r="AJ41" s="15"/>
      <c r="AK41" s="169"/>
      <c r="AL41" s="14"/>
      <c r="AM41" s="15"/>
      <c r="AN41" s="166"/>
      <c r="AO41" s="15"/>
      <c r="AP41" s="168"/>
      <c r="AQ41" s="14"/>
      <c r="AR41" s="15"/>
      <c r="AS41" s="119"/>
      <c r="AU41" s="119"/>
      <c r="AV41" s="169"/>
      <c r="AW41" s="14"/>
      <c r="AX41" s="14"/>
      <c r="AY41" s="15"/>
      <c r="AZ41" s="169"/>
      <c r="BA41" s="14"/>
      <c r="BB41" s="15"/>
      <c r="BC41" s="166"/>
      <c r="BD41" s="15"/>
      <c r="BE41" s="168"/>
      <c r="BF41" s="14"/>
      <c r="BG41" s="15"/>
      <c r="BH41" s="119"/>
    </row>
    <row r="42">
      <c r="B42" s="119"/>
      <c r="C42" s="169"/>
      <c r="D42" s="14"/>
      <c r="E42" s="14"/>
      <c r="F42" s="15"/>
      <c r="G42" s="169"/>
      <c r="H42" s="14"/>
      <c r="I42" s="15"/>
      <c r="J42" s="166"/>
      <c r="K42" s="15"/>
      <c r="L42" s="168"/>
      <c r="M42" s="14"/>
      <c r="N42" s="15"/>
      <c r="O42" s="119"/>
      <c r="Q42" s="119"/>
      <c r="R42" s="169"/>
      <c r="S42" s="14"/>
      <c r="T42" s="14"/>
      <c r="U42" s="15"/>
      <c r="V42" s="169"/>
      <c r="W42" s="14"/>
      <c r="X42" s="15"/>
      <c r="Y42" s="166"/>
      <c r="Z42" s="15"/>
      <c r="AA42" s="168"/>
      <c r="AB42" s="14"/>
      <c r="AC42" s="15"/>
      <c r="AD42" s="119"/>
      <c r="AF42" s="119"/>
      <c r="AG42" s="169"/>
      <c r="AH42" s="14"/>
      <c r="AI42" s="14"/>
      <c r="AJ42" s="15"/>
      <c r="AK42" s="169"/>
      <c r="AL42" s="14"/>
      <c r="AM42" s="15"/>
      <c r="AN42" s="166"/>
      <c r="AO42" s="15"/>
      <c r="AP42" s="168"/>
      <c r="AQ42" s="14"/>
      <c r="AR42" s="15"/>
      <c r="AS42" s="119"/>
      <c r="AU42" s="119"/>
      <c r="AV42" s="169"/>
      <c r="AW42" s="14"/>
      <c r="AX42" s="14"/>
      <c r="AY42" s="15"/>
      <c r="AZ42" s="169"/>
      <c r="BA42" s="14"/>
      <c r="BB42" s="15"/>
      <c r="BC42" s="166"/>
      <c r="BD42" s="15"/>
      <c r="BE42" s="168"/>
      <c r="BF42" s="14"/>
      <c r="BG42" s="15"/>
      <c r="BH42" s="119"/>
    </row>
    <row r="43">
      <c r="B43" s="3"/>
      <c r="C43" s="169"/>
      <c r="D43" s="14"/>
      <c r="E43" s="14"/>
      <c r="F43" s="15"/>
      <c r="G43" s="169"/>
      <c r="H43" s="14"/>
      <c r="I43" s="15"/>
      <c r="J43" s="166"/>
      <c r="K43" s="15"/>
      <c r="L43" s="168"/>
      <c r="M43" s="14"/>
      <c r="N43" s="15"/>
      <c r="O43" s="3"/>
      <c r="Q43" s="3"/>
      <c r="R43" s="169"/>
      <c r="S43" s="14"/>
      <c r="T43" s="14"/>
      <c r="U43" s="15"/>
      <c r="V43" s="169"/>
      <c r="W43" s="14"/>
      <c r="X43" s="15"/>
      <c r="Y43" s="166"/>
      <c r="Z43" s="15"/>
      <c r="AA43" s="168"/>
      <c r="AB43" s="14"/>
      <c r="AC43" s="15"/>
      <c r="AD43" s="3"/>
      <c r="AF43" s="3"/>
      <c r="AG43" s="169"/>
      <c r="AH43" s="14"/>
      <c r="AI43" s="14"/>
      <c r="AJ43" s="15"/>
      <c r="AK43" s="169"/>
      <c r="AL43" s="14"/>
      <c r="AM43" s="15"/>
      <c r="AN43" s="166"/>
      <c r="AO43" s="15"/>
      <c r="AP43" s="168"/>
      <c r="AQ43" s="14"/>
      <c r="AR43" s="15"/>
      <c r="AS43" s="3"/>
      <c r="AU43" s="3"/>
      <c r="AV43" s="169"/>
      <c r="AW43" s="14"/>
      <c r="AX43" s="14"/>
      <c r="AY43" s="15"/>
      <c r="AZ43" s="169"/>
      <c r="BA43" s="14"/>
      <c r="BB43" s="15"/>
      <c r="BC43" s="166"/>
      <c r="BD43" s="15"/>
      <c r="BE43" s="168"/>
      <c r="BF43" s="14"/>
      <c r="BG43" s="15"/>
      <c r="BH43" s="3"/>
    </row>
    <row r="44">
      <c r="B44" s="29"/>
    </row>
    <row r="45">
      <c r="B45" s="142" t="s">
        <v>265</v>
      </c>
      <c r="C45" s="8"/>
      <c r="D45" s="8"/>
      <c r="E45" s="8"/>
      <c r="F45" s="8"/>
      <c r="G45" s="8"/>
      <c r="H45" s="8"/>
      <c r="I45" s="8"/>
      <c r="J45" s="8"/>
      <c r="K45" s="8"/>
      <c r="L45" s="8"/>
      <c r="M45" s="8"/>
      <c r="N45" s="8"/>
      <c r="O45" s="9"/>
      <c r="P45" s="143"/>
      <c r="Q45" s="142" t="s">
        <v>266</v>
      </c>
      <c r="R45" s="8"/>
      <c r="S45" s="8"/>
      <c r="T45" s="8"/>
      <c r="U45" s="8"/>
      <c r="V45" s="8"/>
      <c r="W45" s="8"/>
      <c r="X45" s="8"/>
      <c r="Y45" s="8"/>
      <c r="Z45" s="8"/>
      <c r="AA45" s="8"/>
      <c r="AB45" s="8"/>
      <c r="AC45" s="8"/>
      <c r="AD45" s="9"/>
      <c r="AE45" s="143"/>
      <c r="AF45" s="142" t="s">
        <v>267</v>
      </c>
      <c r="AG45" s="8"/>
      <c r="AH45" s="8"/>
      <c r="AI45" s="8"/>
      <c r="AJ45" s="8"/>
      <c r="AK45" s="8"/>
      <c r="AL45" s="8"/>
      <c r="AM45" s="8"/>
      <c r="AN45" s="8"/>
      <c r="AO45" s="8"/>
      <c r="AP45" s="8"/>
      <c r="AQ45" s="8"/>
      <c r="AR45" s="8"/>
      <c r="AS45" s="9"/>
      <c r="AT45" s="143"/>
      <c r="AU45" s="142" t="s">
        <v>268</v>
      </c>
      <c r="AV45" s="8"/>
      <c r="AW45" s="8"/>
      <c r="AX45" s="8"/>
      <c r="AY45" s="8"/>
      <c r="AZ45" s="8"/>
      <c r="BA45" s="8"/>
      <c r="BB45" s="8"/>
      <c r="BC45" s="8"/>
      <c r="BD45" s="8"/>
      <c r="BE45" s="8"/>
      <c r="BF45" s="8"/>
      <c r="BG45" s="8"/>
      <c r="BH45" s="9"/>
    </row>
    <row r="46">
      <c r="B46" s="21"/>
      <c r="C46" s="22"/>
      <c r="D46" s="22"/>
      <c r="E46" s="22"/>
      <c r="F46" s="22"/>
      <c r="G46" s="22"/>
      <c r="H46" s="22"/>
      <c r="I46" s="22"/>
      <c r="J46" s="22"/>
      <c r="K46" s="22"/>
      <c r="L46" s="22"/>
      <c r="M46" s="22"/>
      <c r="N46" s="22"/>
      <c r="O46" s="23"/>
      <c r="Q46" s="21"/>
      <c r="R46" s="22"/>
      <c r="S46" s="22"/>
      <c r="T46" s="22"/>
      <c r="U46" s="22"/>
      <c r="V46" s="22"/>
      <c r="W46" s="22"/>
      <c r="X46" s="22"/>
      <c r="Y46" s="22"/>
      <c r="Z46" s="22"/>
      <c r="AA46" s="22"/>
      <c r="AB46" s="22"/>
      <c r="AC46" s="22"/>
      <c r="AD46" s="23"/>
      <c r="AF46" s="21"/>
      <c r="AG46" s="22"/>
      <c r="AH46" s="22"/>
      <c r="AI46" s="22"/>
      <c r="AJ46" s="22"/>
      <c r="AK46" s="22"/>
      <c r="AL46" s="22"/>
      <c r="AM46" s="22"/>
      <c r="AN46" s="22"/>
      <c r="AO46" s="22"/>
      <c r="AP46" s="22"/>
      <c r="AQ46" s="22"/>
      <c r="AR46" s="22"/>
      <c r="AS46" s="23"/>
      <c r="AU46" s="21"/>
      <c r="AV46" s="22"/>
      <c r="AW46" s="22"/>
      <c r="AX46" s="22"/>
      <c r="AY46" s="22"/>
      <c r="AZ46" s="22"/>
      <c r="BA46" s="22"/>
      <c r="BB46" s="22"/>
      <c r="BC46" s="22"/>
      <c r="BD46" s="22"/>
      <c r="BE46" s="22"/>
      <c r="BF46" s="22"/>
      <c r="BG46" s="22"/>
      <c r="BH46" s="23"/>
    </row>
    <row r="47">
      <c r="B47" s="118"/>
      <c r="C47" s="53" t="s">
        <v>224</v>
      </c>
      <c r="D47" s="14"/>
      <c r="E47" s="14"/>
      <c r="F47" s="14"/>
      <c r="G47" s="14"/>
      <c r="H47" s="14"/>
      <c r="I47" s="14"/>
      <c r="J47" s="14"/>
      <c r="K47" s="14"/>
      <c r="L47" s="14"/>
      <c r="M47" s="14"/>
      <c r="N47" s="15"/>
      <c r="O47" s="118"/>
      <c r="Q47" s="118"/>
      <c r="R47" s="53" t="s">
        <v>224</v>
      </c>
      <c r="S47" s="14"/>
      <c r="T47" s="14"/>
      <c r="U47" s="14"/>
      <c r="V47" s="14"/>
      <c r="W47" s="14"/>
      <c r="X47" s="14"/>
      <c r="Y47" s="14"/>
      <c r="Z47" s="14"/>
      <c r="AA47" s="14"/>
      <c r="AB47" s="14"/>
      <c r="AC47" s="15"/>
      <c r="AD47" s="118"/>
      <c r="AF47" s="118"/>
      <c r="AG47" s="53" t="s">
        <v>224</v>
      </c>
      <c r="AH47" s="14"/>
      <c r="AI47" s="14"/>
      <c r="AJ47" s="14"/>
      <c r="AK47" s="14"/>
      <c r="AL47" s="14"/>
      <c r="AM47" s="14"/>
      <c r="AN47" s="14"/>
      <c r="AO47" s="14"/>
      <c r="AP47" s="14"/>
      <c r="AQ47" s="14"/>
      <c r="AR47" s="15"/>
      <c r="AS47" s="118"/>
      <c r="AU47" s="118"/>
      <c r="AV47" s="53" t="s">
        <v>224</v>
      </c>
      <c r="AW47" s="14"/>
      <c r="AX47" s="14"/>
      <c r="AY47" s="14"/>
      <c r="AZ47" s="14"/>
      <c r="BA47" s="14"/>
      <c r="BB47" s="14"/>
      <c r="BC47" s="14"/>
      <c r="BD47" s="14"/>
      <c r="BE47" s="14"/>
      <c r="BF47" s="14"/>
      <c r="BG47" s="15"/>
      <c r="BH47" s="118"/>
    </row>
    <row r="48">
      <c r="B48" s="119"/>
      <c r="C48" s="129"/>
      <c r="D48" s="14"/>
      <c r="E48" s="14"/>
      <c r="F48" s="14"/>
      <c r="G48" s="14"/>
      <c r="H48" s="14"/>
      <c r="I48" s="14"/>
      <c r="J48" s="14"/>
      <c r="K48" s="14"/>
      <c r="L48" s="14"/>
      <c r="M48" s="14"/>
      <c r="N48" s="15"/>
      <c r="O48" s="119"/>
      <c r="Q48" s="119"/>
      <c r="R48" s="129"/>
      <c r="S48" s="14"/>
      <c r="T48" s="14"/>
      <c r="U48" s="14"/>
      <c r="V48" s="14"/>
      <c r="W48" s="14"/>
      <c r="X48" s="14"/>
      <c r="Y48" s="14"/>
      <c r="Z48" s="14"/>
      <c r="AA48" s="14"/>
      <c r="AB48" s="14"/>
      <c r="AC48" s="15"/>
      <c r="AD48" s="119"/>
      <c r="AF48" s="119"/>
      <c r="AG48" s="129"/>
      <c r="AH48" s="14"/>
      <c r="AI48" s="14"/>
      <c r="AJ48" s="14"/>
      <c r="AK48" s="14"/>
      <c r="AL48" s="14"/>
      <c r="AM48" s="14"/>
      <c r="AN48" s="14"/>
      <c r="AO48" s="14"/>
      <c r="AP48" s="14"/>
      <c r="AQ48" s="14"/>
      <c r="AR48" s="15"/>
      <c r="AS48" s="119"/>
      <c r="AU48" s="119"/>
      <c r="AV48" s="129"/>
      <c r="AW48" s="14"/>
      <c r="AX48" s="14"/>
      <c r="AY48" s="14"/>
      <c r="AZ48" s="14"/>
      <c r="BA48" s="14"/>
      <c r="BB48" s="14"/>
      <c r="BC48" s="14"/>
      <c r="BD48" s="14"/>
      <c r="BE48" s="14"/>
      <c r="BF48" s="14"/>
      <c r="BG48" s="15"/>
      <c r="BH48" s="119"/>
    </row>
    <row r="49">
      <c r="B49" s="119"/>
      <c r="C49" s="144"/>
      <c r="D49" s="14"/>
      <c r="E49" s="14"/>
      <c r="F49" s="14"/>
      <c r="G49" s="14"/>
      <c r="H49" s="14"/>
      <c r="I49" s="14"/>
      <c r="J49" s="14"/>
      <c r="K49" s="14"/>
      <c r="L49" s="14"/>
      <c r="M49" s="14"/>
      <c r="N49" s="15"/>
      <c r="O49" s="119"/>
      <c r="Q49" s="119"/>
      <c r="R49" s="144"/>
      <c r="S49" s="14"/>
      <c r="T49" s="14"/>
      <c r="U49" s="14"/>
      <c r="V49" s="14"/>
      <c r="W49" s="14"/>
      <c r="X49" s="14"/>
      <c r="Y49" s="14"/>
      <c r="Z49" s="14"/>
      <c r="AA49" s="14"/>
      <c r="AB49" s="14"/>
      <c r="AC49" s="15"/>
      <c r="AD49" s="119"/>
      <c r="AF49" s="119"/>
      <c r="AG49" s="144"/>
      <c r="AH49" s="14"/>
      <c r="AI49" s="14"/>
      <c r="AJ49" s="14"/>
      <c r="AK49" s="14"/>
      <c r="AL49" s="14"/>
      <c r="AM49" s="14"/>
      <c r="AN49" s="14"/>
      <c r="AO49" s="14"/>
      <c r="AP49" s="14"/>
      <c r="AQ49" s="14"/>
      <c r="AR49" s="15"/>
      <c r="AS49" s="119"/>
      <c r="AU49" s="119"/>
      <c r="AV49" s="144"/>
      <c r="AW49" s="14"/>
      <c r="AX49" s="14"/>
      <c r="AY49" s="14"/>
      <c r="AZ49" s="14"/>
      <c r="BA49" s="14"/>
      <c r="BB49" s="14"/>
      <c r="BC49" s="14"/>
      <c r="BD49" s="14"/>
      <c r="BE49" s="14"/>
      <c r="BF49" s="14"/>
      <c r="BG49" s="15"/>
      <c r="BH49" s="119"/>
    </row>
    <row r="50">
      <c r="B50" s="119"/>
      <c r="C50" s="149"/>
      <c r="D50" s="8"/>
      <c r="E50" s="9"/>
      <c r="F50" s="150"/>
      <c r="G50" s="8"/>
      <c r="H50" s="9"/>
      <c r="I50" s="151"/>
      <c r="J50" s="8"/>
      <c r="K50" s="9"/>
      <c r="L50" s="152"/>
      <c r="M50" s="8"/>
      <c r="N50" s="9"/>
      <c r="O50" s="119"/>
      <c r="Q50" s="119"/>
      <c r="R50" s="149"/>
      <c r="S50" s="8"/>
      <c r="T50" s="9"/>
      <c r="U50" s="150"/>
      <c r="V50" s="8"/>
      <c r="W50" s="9"/>
      <c r="X50" s="151"/>
      <c r="Y50" s="8"/>
      <c r="Z50" s="9"/>
      <c r="AA50" s="152"/>
      <c r="AB50" s="8"/>
      <c r="AC50" s="9"/>
      <c r="AD50" s="119"/>
      <c r="AF50" s="119"/>
      <c r="AG50" s="149"/>
      <c r="AH50" s="8"/>
      <c r="AI50" s="9"/>
      <c r="AJ50" s="150"/>
      <c r="AK50" s="8"/>
      <c r="AL50" s="9"/>
      <c r="AM50" s="151"/>
      <c r="AN50" s="8"/>
      <c r="AO50" s="9"/>
      <c r="AP50" s="152"/>
      <c r="AQ50" s="8"/>
      <c r="AR50" s="9"/>
      <c r="AS50" s="119"/>
      <c r="AU50" s="119"/>
      <c r="AV50" s="149"/>
      <c r="AW50" s="8"/>
      <c r="AX50" s="9"/>
      <c r="AY50" s="150"/>
      <c r="AZ50" s="8"/>
      <c r="BA50" s="9"/>
      <c r="BB50" s="151"/>
      <c r="BC50" s="8"/>
      <c r="BD50" s="9"/>
      <c r="BE50" s="152"/>
      <c r="BF50" s="8"/>
      <c r="BG50" s="9"/>
      <c r="BH50" s="119"/>
    </row>
    <row r="51">
      <c r="B51" s="119"/>
      <c r="E51" s="42"/>
      <c r="F51" s="41"/>
      <c r="H51" s="42"/>
      <c r="I51" s="41"/>
      <c r="K51" s="42"/>
      <c r="L51" s="41"/>
      <c r="N51" s="42"/>
      <c r="O51" s="119"/>
      <c r="Q51" s="119"/>
      <c r="T51" s="42"/>
      <c r="U51" s="41"/>
      <c r="W51" s="42"/>
      <c r="X51" s="41"/>
      <c r="Z51" s="42"/>
      <c r="AA51" s="41"/>
      <c r="AC51" s="42"/>
      <c r="AD51" s="119"/>
      <c r="AF51" s="119"/>
      <c r="AI51" s="42"/>
      <c r="AJ51" s="41"/>
      <c r="AL51" s="42"/>
      <c r="AM51" s="41"/>
      <c r="AO51" s="42"/>
      <c r="AP51" s="41"/>
      <c r="AR51" s="42"/>
      <c r="AS51" s="119"/>
      <c r="AU51" s="119"/>
      <c r="AX51" s="42"/>
      <c r="AY51" s="41"/>
      <c r="BA51" s="42"/>
      <c r="BB51" s="41"/>
      <c r="BD51" s="42"/>
      <c r="BE51" s="41"/>
      <c r="BG51" s="42"/>
      <c r="BH51" s="119"/>
    </row>
    <row r="52">
      <c r="B52" s="119"/>
      <c r="E52" s="42"/>
      <c r="F52" s="41"/>
      <c r="H52" s="42"/>
      <c r="I52" s="41"/>
      <c r="K52" s="42"/>
      <c r="L52" s="41"/>
      <c r="N52" s="42"/>
      <c r="O52" s="119"/>
      <c r="Q52" s="119"/>
      <c r="T52" s="42"/>
      <c r="U52" s="41"/>
      <c r="W52" s="42"/>
      <c r="X52" s="41"/>
      <c r="Z52" s="42"/>
      <c r="AA52" s="41"/>
      <c r="AC52" s="42"/>
      <c r="AD52" s="119"/>
      <c r="AF52" s="119"/>
      <c r="AI52" s="42"/>
      <c r="AJ52" s="41"/>
      <c r="AL52" s="42"/>
      <c r="AM52" s="41"/>
      <c r="AO52" s="42"/>
      <c r="AP52" s="41"/>
      <c r="AR52" s="42"/>
      <c r="AS52" s="119"/>
      <c r="AU52" s="119"/>
      <c r="AX52" s="42"/>
      <c r="AY52" s="41"/>
      <c r="BA52" s="42"/>
      <c r="BB52" s="41"/>
      <c r="BD52" s="42"/>
      <c r="BE52" s="41"/>
      <c r="BG52" s="42"/>
      <c r="BH52" s="119"/>
    </row>
    <row r="53">
      <c r="B53" s="119"/>
      <c r="C53" s="22"/>
      <c r="D53" s="22"/>
      <c r="E53" s="23"/>
      <c r="F53" s="21"/>
      <c r="G53" s="22"/>
      <c r="H53" s="23"/>
      <c r="I53" s="21"/>
      <c r="J53" s="22"/>
      <c r="K53" s="23"/>
      <c r="L53" s="21"/>
      <c r="M53" s="22"/>
      <c r="N53" s="23"/>
      <c r="O53" s="119"/>
      <c r="Q53" s="119"/>
      <c r="R53" s="22"/>
      <c r="S53" s="22"/>
      <c r="T53" s="23"/>
      <c r="U53" s="21"/>
      <c r="V53" s="22"/>
      <c r="W53" s="23"/>
      <c r="X53" s="21"/>
      <c r="Y53" s="22"/>
      <c r="Z53" s="23"/>
      <c r="AA53" s="21"/>
      <c r="AB53" s="22"/>
      <c r="AC53" s="23"/>
      <c r="AD53" s="119"/>
      <c r="AF53" s="119"/>
      <c r="AG53" s="22"/>
      <c r="AH53" s="22"/>
      <c r="AI53" s="23"/>
      <c r="AJ53" s="21"/>
      <c r="AK53" s="22"/>
      <c r="AL53" s="23"/>
      <c r="AM53" s="21"/>
      <c r="AN53" s="22"/>
      <c r="AO53" s="23"/>
      <c r="AP53" s="21"/>
      <c r="AQ53" s="22"/>
      <c r="AR53" s="23"/>
      <c r="AS53" s="119"/>
      <c r="AU53" s="119"/>
      <c r="AV53" s="22"/>
      <c r="AW53" s="22"/>
      <c r="AX53" s="23"/>
      <c r="AY53" s="21"/>
      <c r="AZ53" s="22"/>
      <c r="BA53" s="23"/>
      <c r="BB53" s="21"/>
      <c r="BC53" s="22"/>
      <c r="BD53" s="23"/>
      <c r="BE53" s="21"/>
      <c r="BF53" s="22"/>
      <c r="BG53" s="23"/>
      <c r="BH53" s="119"/>
    </row>
    <row r="54">
      <c r="B54" s="119"/>
      <c r="C54" s="153" t="s">
        <v>30</v>
      </c>
      <c r="D54" s="14"/>
      <c r="E54" s="15"/>
      <c r="F54" s="26" t="s">
        <v>32</v>
      </c>
      <c r="G54" s="14"/>
      <c r="H54" s="15"/>
      <c r="I54" s="154" t="s">
        <v>28</v>
      </c>
      <c r="J54" s="8"/>
      <c r="K54" s="9"/>
      <c r="L54" s="155" t="s">
        <v>227</v>
      </c>
      <c r="M54" s="8"/>
      <c r="N54" s="9"/>
      <c r="O54" s="119"/>
      <c r="Q54" s="119"/>
      <c r="R54" s="153" t="s">
        <v>30</v>
      </c>
      <c r="S54" s="14"/>
      <c r="T54" s="15"/>
      <c r="U54" s="26" t="s">
        <v>32</v>
      </c>
      <c r="V54" s="14"/>
      <c r="W54" s="15"/>
      <c r="X54" s="154" t="s">
        <v>28</v>
      </c>
      <c r="Y54" s="8"/>
      <c r="Z54" s="9"/>
      <c r="AA54" s="155" t="s">
        <v>227</v>
      </c>
      <c r="AB54" s="8"/>
      <c r="AC54" s="9"/>
      <c r="AD54" s="119"/>
      <c r="AF54" s="119"/>
      <c r="AG54" s="153" t="s">
        <v>30</v>
      </c>
      <c r="AH54" s="14"/>
      <c r="AI54" s="15"/>
      <c r="AJ54" s="26" t="s">
        <v>32</v>
      </c>
      <c r="AK54" s="14"/>
      <c r="AL54" s="15"/>
      <c r="AM54" s="154" t="s">
        <v>28</v>
      </c>
      <c r="AN54" s="8"/>
      <c r="AO54" s="9"/>
      <c r="AP54" s="155" t="s">
        <v>227</v>
      </c>
      <c r="AQ54" s="8"/>
      <c r="AR54" s="9"/>
      <c r="AS54" s="119"/>
      <c r="AU54" s="119"/>
      <c r="AV54" s="153" t="s">
        <v>30</v>
      </c>
      <c r="AW54" s="14"/>
      <c r="AX54" s="15"/>
      <c r="AY54" s="26" t="s">
        <v>32</v>
      </c>
      <c r="AZ54" s="14"/>
      <c r="BA54" s="15"/>
      <c r="BB54" s="154" t="s">
        <v>28</v>
      </c>
      <c r="BC54" s="8"/>
      <c r="BD54" s="9"/>
      <c r="BE54" s="155" t="s">
        <v>227</v>
      </c>
      <c r="BF54" s="8"/>
      <c r="BG54" s="9"/>
      <c r="BH54" s="119"/>
    </row>
    <row r="55">
      <c r="B55" s="3"/>
      <c r="C55" s="156" t="s">
        <v>24</v>
      </c>
      <c r="I55" s="21"/>
      <c r="J55" s="22"/>
      <c r="K55" s="23"/>
      <c r="L55" s="21"/>
      <c r="M55" s="22"/>
      <c r="N55" s="23"/>
      <c r="O55" s="3"/>
      <c r="Q55" s="3"/>
      <c r="R55" s="156" t="s">
        <v>24</v>
      </c>
      <c r="X55" s="21"/>
      <c r="Y55" s="22"/>
      <c r="Z55" s="23"/>
      <c r="AA55" s="21"/>
      <c r="AB55" s="22"/>
      <c r="AC55" s="23"/>
      <c r="AD55" s="3"/>
      <c r="AF55" s="3"/>
      <c r="AG55" s="156" t="s">
        <v>24</v>
      </c>
      <c r="AM55" s="21"/>
      <c r="AN55" s="22"/>
      <c r="AO55" s="23"/>
      <c r="AP55" s="21"/>
      <c r="AQ55" s="22"/>
      <c r="AR55" s="23"/>
      <c r="AS55" s="3"/>
      <c r="AU55" s="3"/>
      <c r="AV55" s="156" t="s">
        <v>24</v>
      </c>
      <c r="BB55" s="21"/>
      <c r="BC55" s="22"/>
      <c r="BD55" s="23"/>
      <c r="BE55" s="21"/>
      <c r="BF55" s="22"/>
      <c r="BG55" s="23"/>
      <c r="BH55" s="3"/>
    </row>
    <row r="56">
      <c r="B56" s="118"/>
      <c r="C56" s="157" t="s">
        <v>23</v>
      </c>
      <c r="D56" s="14"/>
      <c r="E56" s="14"/>
      <c r="F56" s="14"/>
      <c r="G56" s="14"/>
      <c r="H56" s="14"/>
      <c r="I56" s="14"/>
      <c r="J56" s="14"/>
      <c r="K56" s="14"/>
      <c r="L56" s="14"/>
      <c r="M56" s="14"/>
      <c r="N56" s="15"/>
      <c r="O56" s="118"/>
      <c r="Q56" s="118"/>
      <c r="R56" s="157" t="s">
        <v>23</v>
      </c>
      <c r="S56" s="14"/>
      <c r="T56" s="14"/>
      <c r="U56" s="14"/>
      <c r="V56" s="14"/>
      <c r="W56" s="14"/>
      <c r="X56" s="14"/>
      <c r="Y56" s="14"/>
      <c r="Z56" s="14"/>
      <c r="AA56" s="14"/>
      <c r="AB56" s="14"/>
      <c r="AC56" s="15"/>
      <c r="AD56" s="118"/>
      <c r="AF56" s="118"/>
      <c r="AG56" s="157" t="s">
        <v>23</v>
      </c>
      <c r="AH56" s="14"/>
      <c r="AI56" s="14"/>
      <c r="AJ56" s="14"/>
      <c r="AK56" s="14"/>
      <c r="AL56" s="14"/>
      <c r="AM56" s="14"/>
      <c r="AN56" s="14"/>
      <c r="AO56" s="14"/>
      <c r="AP56" s="14"/>
      <c r="AQ56" s="14"/>
      <c r="AR56" s="15"/>
      <c r="AS56" s="118"/>
      <c r="AU56" s="118"/>
      <c r="AV56" s="157" t="s">
        <v>23</v>
      </c>
      <c r="AW56" s="14"/>
      <c r="AX56" s="14"/>
      <c r="AY56" s="14"/>
      <c r="AZ56" s="14"/>
      <c r="BA56" s="14"/>
      <c r="BB56" s="14"/>
      <c r="BC56" s="14"/>
      <c r="BD56" s="14"/>
      <c r="BE56" s="14"/>
      <c r="BF56" s="14"/>
      <c r="BG56" s="15"/>
      <c r="BH56" s="118"/>
    </row>
    <row r="57">
      <c r="B57" s="119"/>
      <c r="C57" s="53" t="s">
        <v>81</v>
      </c>
      <c r="D57" s="14"/>
      <c r="E57" s="14"/>
      <c r="F57" s="15"/>
      <c r="G57" s="53" t="s">
        <v>51</v>
      </c>
      <c r="H57" s="14"/>
      <c r="I57" s="14"/>
      <c r="J57" s="15"/>
      <c r="K57" s="158" t="s">
        <v>228</v>
      </c>
      <c r="L57" s="8"/>
      <c r="M57" s="8"/>
      <c r="N57" s="9"/>
      <c r="O57" s="119"/>
      <c r="Q57" s="119"/>
      <c r="R57" s="53" t="s">
        <v>81</v>
      </c>
      <c r="S57" s="14"/>
      <c r="T57" s="14"/>
      <c r="U57" s="15"/>
      <c r="V57" s="53" t="s">
        <v>51</v>
      </c>
      <c r="W57" s="14"/>
      <c r="X57" s="14"/>
      <c r="Y57" s="15"/>
      <c r="Z57" s="158" t="s">
        <v>228</v>
      </c>
      <c r="AA57" s="8"/>
      <c r="AB57" s="8"/>
      <c r="AC57" s="9"/>
      <c r="AD57" s="119"/>
      <c r="AF57" s="119"/>
      <c r="AG57" s="53" t="s">
        <v>81</v>
      </c>
      <c r="AH57" s="14"/>
      <c r="AI57" s="14"/>
      <c r="AJ57" s="15"/>
      <c r="AK57" s="53" t="s">
        <v>51</v>
      </c>
      <c r="AL57" s="14"/>
      <c r="AM57" s="14"/>
      <c r="AN57" s="15"/>
      <c r="AO57" s="158" t="s">
        <v>228</v>
      </c>
      <c r="AP57" s="8"/>
      <c r="AQ57" s="8"/>
      <c r="AR57" s="9"/>
      <c r="AS57" s="119"/>
      <c r="AU57" s="119"/>
      <c r="AV57" s="53" t="s">
        <v>81</v>
      </c>
      <c r="AW57" s="14"/>
      <c r="AX57" s="14"/>
      <c r="AY57" s="15"/>
      <c r="AZ57" s="53" t="s">
        <v>51</v>
      </c>
      <c r="BA57" s="14"/>
      <c r="BB57" s="14"/>
      <c r="BC57" s="15"/>
      <c r="BD57" s="158" t="s">
        <v>228</v>
      </c>
      <c r="BE57" s="8"/>
      <c r="BF57" s="8"/>
      <c r="BG57" s="9"/>
      <c r="BH57" s="119"/>
    </row>
    <row r="58">
      <c r="B58" s="119"/>
      <c r="C58" s="159" t="s">
        <v>229</v>
      </c>
      <c r="D58" s="14"/>
      <c r="E58" s="14"/>
      <c r="F58" s="15"/>
      <c r="G58" s="16"/>
      <c r="H58" s="14"/>
      <c r="I58" s="14"/>
      <c r="J58" s="15"/>
      <c r="K58" s="160">
        <f t="shared" ref="K58:K63" si="5">IF(G58&gt;=10,ROUNDDOWN((G58-10)/2,0),ROUNDUP((G58-10)/2,0))</f>
        <v>-5</v>
      </c>
      <c r="L58" s="14"/>
      <c r="M58" s="14"/>
      <c r="N58" s="15"/>
      <c r="O58" s="119"/>
      <c r="Q58" s="119"/>
      <c r="R58" s="159" t="s">
        <v>229</v>
      </c>
      <c r="S58" s="14"/>
      <c r="T58" s="14"/>
      <c r="U58" s="15"/>
      <c r="V58" s="16"/>
      <c r="W58" s="14"/>
      <c r="X58" s="14"/>
      <c r="Y58" s="15"/>
      <c r="Z58" s="160">
        <f t="shared" ref="Z58:Z63" si="6">IF(V58&gt;=10,ROUNDDOWN((V58-10)/2,0),ROUNDUP((V58-10)/2,0))</f>
        <v>-5</v>
      </c>
      <c r="AA58" s="14"/>
      <c r="AB58" s="14"/>
      <c r="AC58" s="15"/>
      <c r="AD58" s="119"/>
      <c r="AF58" s="119"/>
      <c r="AG58" s="159" t="s">
        <v>229</v>
      </c>
      <c r="AH58" s="14"/>
      <c r="AI58" s="14"/>
      <c r="AJ58" s="15"/>
      <c r="AK58" s="16"/>
      <c r="AL58" s="14"/>
      <c r="AM58" s="14"/>
      <c r="AN58" s="15"/>
      <c r="AO58" s="160">
        <f t="shared" ref="AO58:AO63" si="7">IF(AK58&gt;=10,ROUNDDOWN((AK58-10)/2,0),ROUNDUP((AK58-10)/2,0))</f>
        <v>-5</v>
      </c>
      <c r="AP58" s="14"/>
      <c r="AQ58" s="14"/>
      <c r="AR58" s="15"/>
      <c r="AS58" s="119"/>
      <c r="AU58" s="119"/>
      <c r="AV58" s="159" t="s">
        <v>229</v>
      </c>
      <c r="AW58" s="14"/>
      <c r="AX58" s="14"/>
      <c r="AY58" s="15"/>
      <c r="AZ58" s="16"/>
      <c r="BA58" s="14"/>
      <c r="BB58" s="14"/>
      <c r="BC58" s="15"/>
      <c r="BD58" s="160">
        <f t="shared" ref="BD58:BD63" si="8">IF(AZ58&gt;=10,ROUNDDOWN((AZ58-10)/2,0),ROUNDUP((AZ58-10)/2,0))</f>
        <v>-5</v>
      </c>
      <c r="BE58" s="14"/>
      <c r="BF58" s="14"/>
      <c r="BG58" s="15"/>
      <c r="BH58" s="119"/>
    </row>
    <row r="59">
      <c r="B59" s="119"/>
      <c r="C59" s="159" t="s">
        <v>54</v>
      </c>
      <c r="D59" s="14"/>
      <c r="E59" s="14"/>
      <c r="F59" s="15"/>
      <c r="G59" s="16"/>
      <c r="H59" s="14"/>
      <c r="I59" s="14"/>
      <c r="J59" s="15"/>
      <c r="K59" s="160">
        <f t="shared" si="5"/>
        <v>-5</v>
      </c>
      <c r="L59" s="14"/>
      <c r="M59" s="14"/>
      <c r="N59" s="15"/>
      <c r="O59" s="119"/>
      <c r="Q59" s="119"/>
      <c r="R59" s="159" t="s">
        <v>54</v>
      </c>
      <c r="S59" s="14"/>
      <c r="T59" s="14"/>
      <c r="U59" s="15"/>
      <c r="V59" s="16"/>
      <c r="W59" s="14"/>
      <c r="X59" s="14"/>
      <c r="Y59" s="15"/>
      <c r="Z59" s="160">
        <f t="shared" si="6"/>
        <v>-5</v>
      </c>
      <c r="AA59" s="14"/>
      <c r="AB59" s="14"/>
      <c r="AC59" s="15"/>
      <c r="AD59" s="119"/>
      <c r="AF59" s="119"/>
      <c r="AG59" s="159" t="s">
        <v>54</v>
      </c>
      <c r="AH59" s="14"/>
      <c r="AI59" s="14"/>
      <c r="AJ59" s="15"/>
      <c r="AK59" s="16"/>
      <c r="AL59" s="14"/>
      <c r="AM59" s="14"/>
      <c r="AN59" s="15"/>
      <c r="AO59" s="160">
        <f t="shared" si="7"/>
        <v>-5</v>
      </c>
      <c r="AP59" s="14"/>
      <c r="AQ59" s="14"/>
      <c r="AR59" s="15"/>
      <c r="AS59" s="119"/>
      <c r="AU59" s="119"/>
      <c r="AV59" s="159" t="s">
        <v>54</v>
      </c>
      <c r="AW59" s="14"/>
      <c r="AX59" s="14"/>
      <c r="AY59" s="15"/>
      <c r="AZ59" s="16"/>
      <c r="BA59" s="14"/>
      <c r="BB59" s="14"/>
      <c r="BC59" s="15"/>
      <c r="BD59" s="160">
        <f t="shared" si="8"/>
        <v>-5</v>
      </c>
      <c r="BE59" s="14"/>
      <c r="BF59" s="14"/>
      <c r="BG59" s="15"/>
      <c r="BH59" s="119"/>
    </row>
    <row r="60">
      <c r="B60" s="119"/>
      <c r="C60" s="159" t="s">
        <v>230</v>
      </c>
      <c r="D60" s="14"/>
      <c r="E60" s="14"/>
      <c r="F60" s="15"/>
      <c r="G60" s="111"/>
      <c r="H60" s="14"/>
      <c r="I60" s="14"/>
      <c r="J60" s="15"/>
      <c r="K60" s="160">
        <f t="shared" si="5"/>
        <v>-5</v>
      </c>
      <c r="L60" s="14"/>
      <c r="M60" s="14"/>
      <c r="N60" s="15"/>
      <c r="O60" s="119"/>
      <c r="Q60" s="119"/>
      <c r="R60" s="159" t="s">
        <v>230</v>
      </c>
      <c r="S60" s="14"/>
      <c r="T60" s="14"/>
      <c r="U60" s="15"/>
      <c r="V60" s="111"/>
      <c r="W60" s="14"/>
      <c r="X60" s="14"/>
      <c r="Y60" s="15"/>
      <c r="Z60" s="160">
        <f t="shared" si="6"/>
        <v>-5</v>
      </c>
      <c r="AA60" s="14"/>
      <c r="AB60" s="14"/>
      <c r="AC60" s="15"/>
      <c r="AD60" s="119"/>
      <c r="AF60" s="119"/>
      <c r="AG60" s="159" t="s">
        <v>230</v>
      </c>
      <c r="AH60" s="14"/>
      <c r="AI60" s="14"/>
      <c r="AJ60" s="15"/>
      <c r="AK60" s="111"/>
      <c r="AL60" s="14"/>
      <c r="AM60" s="14"/>
      <c r="AN60" s="15"/>
      <c r="AO60" s="160">
        <f t="shared" si="7"/>
        <v>-5</v>
      </c>
      <c r="AP60" s="14"/>
      <c r="AQ60" s="14"/>
      <c r="AR60" s="15"/>
      <c r="AS60" s="119"/>
      <c r="AU60" s="119"/>
      <c r="AV60" s="159" t="s">
        <v>230</v>
      </c>
      <c r="AW60" s="14"/>
      <c r="AX60" s="14"/>
      <c r="AY60" s="15"/>
      <c r="AZ60" s="111"/>
      <c r="BA60" s="14"/>
      <c r="BB60" s="14"/>
      <c r="BC60" s="15"/>
      <c r="BD60" s="160">
        <f t="shared" si="8"/>
        <v>-5</v>
      </c>
      <c r="BE60" s="14"/>
      <c r="BF60" s="14"/>
      <c r="BG60" s="15"/>
      <c r="BH60" s="119"/>
    </row>
    <row r="61">
      <c r="B61" s="119"/>
      <c r="C61" s="159" t="s">
        <v>231</v>
      </c>
      <c r="D61" s="14"/>
      <c r="E61" s="14"/>
      <c r="F61" s="15"/>
      <c r="G61" s="111"/>
      <c r="H61" s="14"/>
      <c r="I61" s="14"/>
      <c r="J61" s="15"/>
      <c r="K61" s="160">
        <f t="shared" si="5"/>
        <v>-5</v>
      </c>
      <c r="L61" s="14"/>
      <c r="M61" s="14"/>
      <c r="N61" s="15"/>
      <c r="O61" s="119"/>
      <c r="Q61" s="119"/>
      <c r="R61" s="159" t="s">
        <v>231</v>
      </c>
      <c r="S61" s="14"/>
      <c r="T61" s="14"/>
      <c r="U61" s="15"/>
      <c r="V61" s="111"/>
      <c r="W61" s="14"/>
      <c r="X61" s="14"/>
      <c r="Y61" s="15"/>
      <c r="Z61" s="160">
        <f t="shared" si="6"/>
        <v>-5</v>
      </c>
      <c r="AA61" s="14"/>
      <c r="AB61" s="14"/>
      <c r="AC61" s="15"/>
      <c r="AD61" s="119"/>
      <c r="AF61" s="119"/>
      <c r="AG61" s="159" t="s">
        <v>231</v>
      </c>
      <c r="AH61" s="14"/>
      <c r="AI61" s="14"/>
      <c r="AJ61" s="15"/>
      <c r="AK61" s="111"/>
      <c r="AL61" s="14"/>
      <c r="AM61" s="14"/>
      <c r="AN61" s="15"/>
      <c r="AO61" s="160">
        <f t="shared" si="7"/>
        <v>-5</v>
      </c>
      <c r="AP61" s="14"/>
      <c r="AQ61" s="14"/>
      <c r="AR61" s="15"/>
      <c r="AS61" s="119"/>
      <c r="AU61" s="119"/>
      <c r="AV61" s="159" t="s">
        <v>231</v>
      </c>
      <c r="AW61" s="14"/>
      <c r="AX61" s="14"/>
      <c r="AY61" s="15"/>
      <c r="AZ61" s="111"/>
      <c r="BA61" s="14"/>
      <c r="BB61" s="14"/>
      <c r="BC61" s="15"/>
      <c r="BD61" s="160">
        <f t="shared" si="8"/>
        <v>-5</v>
      </c>
      <c r="BE61" s="14"/>
      <c r="BF61" s="14"/>
      <c r="BG61" s="15"/>
      <c r="BH61" s="119"/>
    </row>
    <row r="62">
      <c r="B62" s="119"/>
      <c r="C62" s="159" t="s">
        <v>232</v>
      </c>
      <c r="D62" s="14"/>
      <c r="E62" s="14"/>
      <c r="F62" s="15"/>
      <c r="G62" s="111"/>
      <c r="H62" s="14"/>
      <c r="I62" s="14"/>
      <c r="J62" s="15"/>
      <c r="K62" s="160">
        <f t="shared" si="5"/>
        <v>-5</v>
      </c>
      <c r="L62" s="14"/>
      <c r="M62" s="14"/>
      <c r="N62" s="15"/>
      <c r="O62" s="119"/>
      <c r="Q62" s="119"/>
      <c r="R62" s="159" t="s">
        <v>232</v>
      </c>
      <c r="S62" s="14"/>
      <c r="T62" s="14"/>
      <c r="U62" s="15"/>
      <c r="V62" s="111"/>
      <c r="W62" s="14"/>
      <c r="X62" s="14"/>
      <c r="Y62" s="15"/>
      <c r="Z62" s="160">
        <f t="shared" si="6"/>
        <v>-5</v>
      </c>
      <c r="AA62" s="14"/>
      <c r="AB62" s="14"/>
      <c r="AC62" s="15"/>
      <c r="AD62" s="119"/>
      <c r="AF62" s="119"/>
      <c r="AG62" s="159" t="s">
        <v>232</v>
      </c>
      <c r="AH62" s="14"/>
      <c r="AI62" s="14"/>
      <c r="AJ62" s="15"/>
      <c r="AK62" s="111"/>
      <c r="AL62" s="14"/>
      <c r="AM62" s="14"/>
      <c r="AN62" s="15"/>
      <c r="AO62" s="160">
        <f t="shared" si="7"/>
        <v>-5</v>
      </c>
      <c r="AP62" s="14"/>
      <c r="AQ62" s="14"/>
      <c r="AR62" s="15"/>
      <c r="AS62" s="119"/>
      <c r="AU62" s="119"/>
      <c r="AV62" s="159" t="s">
        <v>232</v>
      </c>
      <c r="AW62" s="14"/>
      <c r="AX62" s="14"/>
      <c r="AY62" s="15"/>
      <c r="AZ62" s="111"/>
      <c r="BA62" s="14"/>
      <c r="BB62" s="14"/>
      <c r="BC62" s="15"/>
      <c r="BD62" s="160">
        <f t="shared" si="8"/>
        <v>-5</v>
      </c>
      <c r="BE62" s="14"/>
      <c r="BF62" s="14"/>
      <c r="BG62" s="15"/>
      <c r="BH62" s="119"/>
    </row>
    <row r="63">
      <c r="B63" s="119"/>
      <c r="C63" s="161" t="s">
        <v>209</v>
      </c>
      <c r="D63" s="14"/>
      <c r="E63" s="14"/>
      <c r="F63" s="15"/>
      <c r="G63" s="111"/>
      <c r="H63" s="14"/>
      <c r="I63" s="14"/>
      <c r="J63" s="15"/>
      <c r="K63" s="160">
        <f t="shared" si="5"/>
        <v>-5</v>
      </c>
      <c r="L63" s="14"/>
      <c r="M63" s="14"/>
      <c r="N63" s="15"/>
      <c r="O63" s="119"/>
      <c r="Q63" s="119"/>
      <c r="R63" s="161" t="s">
        <v>209</v>
      </c>
      <c r="S63" s="14"/>
      <c r="T63" s="14"/>
      <c r="U63" s="15"/>
      <c r="V63" s="111"/>
      <c r="W63" s="14"/>
      <c r="X63" s="14"/>
      <c r="Y63" s="15"/>
      <c r="Z63" s="160">
        <f t="shared" si="6"/>
        <v>-5</v>
      </c>
      <c r="AA63" s="14"/>
      <c r="AB63" s="14"/>
      <c r="AC63" s="15"/>
      <c r="AD63" s="119"/>
      <c r="AF63" s="119"/>
      <c r="AG63" s="161" t="s">
        <v>209</v>
      </c>
      <c r="AH63" s="14"/>
      <c r="AI63" s="14"/>
      <c r="AJ63" s="15"/>
      <c r="AK63" s="111"/>
      <c r="AL63" s="14"/>
      <c r="AM63" s="14"/>
      <c r="AN63" s="15"/>
      <c r="AO63" s="160">
        <f t="shared" si="7"/>
        <v>-5</v>
      </c>
      <c r="AP63" s="14"/>
      <c r="AQ63" s="14"/>
      <c r="AR63" s="15"/>
      <c r="AS63" s="119"/>
      <c r="AU63" s="119"/>
      <c r="AV63" s="161" t="s">
        <v>209</v>
      </c>
      <c r="AW63" s="14"/>
      <c r="AX63" s="14"/>
      <c r="AY63" s="15"/>
      <c r="AZ63" s="111"/>
      <c r="BA63" s="14"/>
      <c r="BB63" s="14"/>
      <c r="BC63" s="15"/>
      <c r="BD63" s="160">
        <f t="shared" si="8"/>
        <v>-5</v>
      </c>
      <c r="BE63" s="14"/>
      <c r="BF63" s="14"/>
      <c r="BG63" s="15"/>
      <c r="BH63" s="119"/>
    </row>
    <row r="64">
      <c r="B64" s="119"/>
      <c r="C64" s="162" t="s">
        <v>233</v>
      </c>
      <c r="D64" s="14"/>
      <c r="E64" s="14"/>
      <c r="F64" s="14"/>
      <c r="G64" s="14"/>
      <c r="H64" s="14"/>
      <c r="I64" s="14"/>
      <c r="J64" s="14"/>
      <c r="K64" s="14"/>
      <c r="L64" s="14"/>
      <c r="M64" s="14"/>
      <c r="N64" s="15"/>
      <c r="O64" s="119"/>
      <c r="Q64" s="119"/>
      <c r="R64" s="162" t="s">
        <v>233</v>
      </c>
      <c r="S64" s="14"/>
      <c r="T64" s="14"/>
      <c r="U64" s="14"/>
      <c r="V64" s="14"/>
      <c r="W64" s="14"/>
      <c r="X64" s="14"/>
      <c r="Y64" s="14"/>
      <c r="Z64" s="14"/>
      <c r="AA64" s="14"/>
      <c r="AB64" s="14"/>
      <c r="AC64" s="15"/>
      <c r="AD64" s="119"/>
      <c r="AF64" s="119"/>
      <c r="AG64" s="162" t="s">
        <v>233</v>
      </c>
      <c r="AH64" s="14"/>
      <c r="AI64" s="14"/>
      <c r="AJ64" s="14"/>
      <c r="AK64" s="14"/>
      <c r="AL64" s="14"/>
      <c r="AM64" s="14"/>
      <c r="AN64" s="14"/>
      <c r="AO64" s="14"/>
      <c r="AP64" s="14"/>
      <c r="AQ64" s="14"/>
      <c r="AR64" s="15"/>
      <c r="AS64" s="119"/>
      <c r="AU64" s="119"/>
      <c r="AV64" s="162" t="s">
        <v>233</v>
      </c>
      <c r="AW64" s="14"/>
      <c r="AX64" s="14"/>
      <c r="AY64" s="14"/>
      <c r="AZ64" s="14"/>
      <c r="BA64" s="14"/>
      <c r="BB64" s="14"/>
      <c r="BC64" s="14"/>
      <c r="BD64" s="14"/>
      <c r="BE64" s="14"/>
      <c r="BF64" s="14"/>
      <c r="BG64" s="15"/>
      <c r="BH64" s="119"/>
    </row>
    <row r="65">
      <c r="B65" s="119"/>
      <c r="C65" s="164"/>
      <c r="D65" s="14"/>
      <c r="E65" s="14"/>
      <c r="F65" s="14"/>
      <c r="G65" s="14"/>
      <c r="H65" s="15"/>
      <c r="I65" s="164"/>
      <c r="J65" s="14"/>
      <c r="K65" s="14"/>
      <c r="L65" s="14"/>
      <c r="M65" s="14"/>
      <c r="N65" s="15"/>
      <c r="O65" s="119"/>
      <c r="Q65" s="119"/>
      <c r="R65" s="164"/>
      <c r="S65" s="14"/>
      <c r="T65" s="14"/>
      <c r="U65" s="14"/>
      <c r="V65" s="14"/>
      <c r="W65" s="15"/>
      <c r="X65" s="164"/>
      <c r="Y65" s="14"/>
      <c r="Z65" s="14"/>
      <c r="AA65" s="14"/>
      <c r="AB65" s="14"/>
      <c r="AC65" s="15"/>
      <c r="AD65" s="119"/>
      <c r="AF65" s="119"/>
      <c r="AG65" s="164"/>
      <c r="AH65" s="14"/>
      <c r="AI65" s="14"/>
      <c r="AJ65" s="14"/>
      <c r="AK65" s="14"/>
      <c r="AL65" s="15"/>
      <c r="AM65" s="164"/>
      <c r="AN65" s="14"/>
      <c r="AO65" s="14"/>
      <c r="AP65" s="14"/>
      <c r="AQ65" s="14"/>
      <c r="AR65" s="15"/>
      <c r="AS65" s="119"/>
      <c r="AU65" s="119"/>
      <c r="AV65" s="164"/>
      <c r="AW65" s="14"/>
      <c r="AX65" s="14"/>
      <c r="AY65" s="14"/>
      <c r="AZ65" s="14"/>
      <c r="BA65" s="15"/>
      <c r="BB65" s="164"/>
      <c r="BC65" s="14"/>
      <c r="BD65" s="14"/>
      <c r="BE65" s="14"/>
      <c r="BF65" s="14"/>
      <c r="BG65" s="15"/>
      <c r="BH65" s="119"/>
    </row>
    <row r="66">
      <c r="B66" s="119"/>
      <c r="C66" s="164"/>
      <c r="D66" s="14"/>
      <c r="E66" s="14"/>
      <c r="F66" s="14"/>
      <c r="G66" s="14"/>
      <c r="H66" s="15"/>
      <c r="I66" s="164"/>
      <c r="J66" s="14"/>
      <c r="K66" s="14"/>
      <c r="L66" s="14"/>
      <c r="M66" s="14"/>
      <c r="N66" s="15"/>
      <c r="O66" s="119"/>
      <c r="Q66" s="119"/>
      <c r="R66" s="164"/>
      <c r="S66" s="14"/>
      <c r="T66" s="14"/>
      <c r="U66" s="14"/>
      <c r="V66" s="14"/>
      <c r="W66" s="15"/>
      <c r="X66" s="164"/>
      <c r="Y66" s="14"/>
      <c r="Z66" s="14"/>
      <c r="AA66" s="14"/>
      <c r="AB66" s="14"/>
      <c r="AC66" s="15"/>
      <c r="AD66" s="119"/>
      <c r="AF66" s="119"/>
      <c r="AG66" s="164"/>
      <c r="AH66" s="14"/>
      <c r="AI66" s="14"/>
      <c r="AJ66" s="14"/>
      <c r="AK66" s="14"/>
      <c r="AL66" s="15"/>
      <c r="AM66" s="164"/>
      <c r="AN66" s="14"/>
      <c r="AO66" s="14"/>
      <c r="AP66" s="14"/>
      <c r="AQ66" s="14"/>
      <c r="AR66" s="15"/>
      <c r="AS66" s="119"/>
      <c r="AU66" s="119"/>
      <c r="AV66" s="164"/>
      <c r="AW66" s="14"/>
      <c r="AX66" s="14"/>
      <c r="AY66" s="14"/>
      <c r="AZ66" s="14"/>
      <c r="BA66" s="15"/>
      <c r="BB66" s="164"/>
      <c r="BC66" s="14"/>
      <c r="BD66" s="14"/>
      <c r="BE66" s="14"/>
      <c r="BF66" s="14"/>
      <c r="BG66" s="15"/>
      <c r="BH66" s="119"/>
    </row>
    <row r="67">
      <c r="B67" s="119"/>
      <c r="C67" s="164"/>
      <c r="D67" s="14"/>
      <c r="E67" s="14"/>
      <c r="F67" s="14"/>
      <c r="G67" s="14"/>
      <c r="H67" s="15"/>
      <c r="I67" s="164"/>
      <c r="J67" s="14"/>
      <c r="K67" s="14"/>
      <c r="L67" s="14"/>
      <c r="M67" s="14"/>
      <c r="N67" s="15"/>
      <c r="O67" s="119"/>
      <c r="Q67" s="119"/>
      <c r="R67" s="164"/>
      <c r="S67" s="14"/>
      <c r="T67" s="14"/>
      <c r="U67" s="14"/>
      <c r="V67" s="14"/>
      <c r="W67" s="15"/>
      <c r="X67" s="164"/>
      <c r="Y67" s="14"/>
      <c r="Z67" s="14"/>
      <c r="AA67" s="14"/>
      <c r="AB67" s="14"/>
      <c r="AC67" s="15"/>
      <c r="AD67" s="119"/>
      <c r="AF67" s="119"/>
      <c r="AG67" s="164"/>
      <c r="AH67" s="14"/>
      <c r="AI67" s="14"/>
      <c r="AJ67" s="14"/>
      <c r="AK67" s="14"/>
      <c r="AL67" s="15"/>
      <c r="AM67" s="164"/>
      <c r="AN67" s="14"/>
      <c r="AO67" s="14"/>
      <c r="AP67" s="14"/>
      <c r="AQ67" s="14"/>
      <c r="AR67" s="15"/>
      <c r="AS67" s="119"/>
      <c r="AU67" s="119"/>
      <c r="AV67" s="164"/>
      <c r="AW67" s="14"/>
      <c r="AX67" s="14"/>
      <c r="AY67" s="14"/>
      <c r="AZ67" s="14"/>
      <c r="BA67" s="15"/>
      <c r="BB67" s="164"/>
      <c r="BC67" s="14"/>
      <c r="BD67" s="14"/>
      <c r="BE67" s="14"/>
      <c r="BF67" s="14"/>
      <c r="BG67" s="15"/>
      <c r="BH67" s="119"/>
    </row>
    <row r="68">
      <c r="B68" s="119"/>
      <c r="C68" s="164"/>
      <c r="D68" s="14"/>
      <c r="E68" s="14"/>
      <c r="F68" s="14"/>
      <c r="G68" s="14"/>
      <c r="H68" s="15"/>
      <c r="I68" s="164"/>
      <c r="J68" s="14"/>
      <c r="K68" s="14"/>
      <c r="L68" s="14"/>
      <c r="M68" s="14"/>
      <c r="N68" s="15"/>
      <c r="O68" s="119"/>
      <c r="Q68" s="119"/>
      <c r="R68" s="164"/>
      <c r="S68" s="14"/>
      <c r="T68" s="14"/>
      <c r="U68" s="14"/>
      <c r="V68" s="14"/>
      <c r="W68" s="15"/>
      <c r="X68" s="164"/>
      <c r="Y68" s="14"/>
      <c r="Z68" s="14"/>
      <c r="AA68" s="14"/>
      <c r="AB68" s="14"/>
      <c r="AC68" s="15"/>
      <c r="AD68" s="119"/>
      <c r="AF68" s="119"/>
      <c r="AG68" s="164"/>
      <c r="AH68" s="14"/>
      <c r="AI68" s="14"/>
      <c r="AJ68" s="14"/>
      <c r="AK68" s="14"/>
      <c r="AL68" s="15"/>
      <c r="AM68" s="164"/>
      <c r="AN68" s="14"/>
      <c r="AO68" s="14"/>
      <c r="AP68" s="14"/>
      <c r="AQ68" s="14"/>
      <c r="AR68" s="15"/>
      <c r="AS68" s="119"/>
      <c r="AU68" s="119"/>
      <c r="AV68" s="164"/>
      <c r="AW68" s="14"/>
      <c r="AX68" s="14"/>
      <c r="AY68" s="14"/>
      <c r="AZ68" s="14"/>
      <c r="BA68" s="15"/>
      <c r="BB68" s="164"/>
      <c r="BC68" s="14"/>
      <c r="BD68" s="14"/>
      <c r="BE68" s="14"/>
      <c r="BF68" s="14"/>
      <c r="BG68" s="15"/>
      <c r="BH68" s="119"/>
    </row>
    <row r="69">
      <c r="B69" s="119"/>
      <c r="C69" s="164"/>
      <c r="D69" s="14"/>
      <c r="E69" s="14"/>
      <c r="F69" s="14"/>
      <c r="G69" s="14"/>
      <c r="H69" s="15"/>
      <c r="I69" s="164"/>
      <c r="J69" s="14"/>
      <c r="K69" s="14"/>
      <c r="L69" s="14"/>
      <c r="M69" s="14"/>
      <c r="N69" s="15"/>
      <c r="O69" s="119"/>
      <c r="Q69" s="119"/>
      <c r="R69" s="164"/>
      <c r="S69" s="14"/>
      <c r="T69" s="14"/>
      <c r="U69" s="14"/>
      <c r="V69" s="14"/>
      <c r="W69" s="15"/>
      <c r="X69" s="164"/>
      <c r="Y69" s="14"/>
      <c r="Z69" s="14"/>
      <c r="AA69" s="14"/>
      <c r="AB69" s="14"/>
      <c r="AC69" s="15"/>
      <c r="AD69" s="119"/>
      <c r="AF69" s="119"/>
      <c r="AG69" s="164"/>
      <c r="AH69" s="14"/>
      <c r="AI69" s="14"/>
      <c r="AJ69" s="14"/>
      <c r="AK69" s="14"/>
      <c r="AL69" s="15"/>
      <c r="AM69" s="164"/>
      <c r="AN69" s="14"/>
      <c r="AO69" s="14"/>
      <c r="AP69" s="14"/>
      <c r="AQ69" s="14"/>
      <c r="AR69" s="15"/>
      <c r="AS69" s="119"/>
      <c r="AU69" s="119"/>
      <c r="AV69" s="164"/>
      <c r="AW69" s="14"/>
      <c r="AX69" s="14"/>
      <c r="AY69" s="14"/>
      <c r="AZ69" s="14"/>
      <c r="BA69" s="15"/>
      <c r="BB69" s="164"/>
      <c r="BC69" s="14"/>
      <c r="BD69" s="14"/>
      <c r="BE69" s="14"/>
      <c r="BF69" s="14"/>
      <c r="BG69" s="15"/>
      <c r="BH69" s="119"/>
    </row>
    <row r="70">
      <c r="B70" s="119"/>
      <c r="C70" s="157" t="s">
        <v>244</v>
      </c>
      <c r="D70" s="14"/>
      <c r="E70" s="14"/>
      <c r="F70" s="14"/>
      <c r="G70" s="14"/>
      <c r="H70" s="14"/>
      <c r="I70" s="14"/>
      <c r="J70" s="14"/>
      <c r="K70" s="14"/>
      <c r="L70" s="14"/>
      <c r="M70" s="14"/>
      <c r="N70" s="15"/>
      <c r="O70" s="119"/>
      <c r="Q70" s="119"/>
      <c r="R70" s="157" t="s">
        <v>244</v>
      </c>
      <c r="S70" s="14"/>
      <c r="T70" s="14"/>
      <c r="U70" s="14"/>
      <c r="V70" s="14"/>
      <c r="W70" s="14"/>
      <c r="X70" s="14"/>
      <c r="Y70" s="14"/>
      <c r="Z70" s="14"/>
      <c r="AA70" s="14"/>
      <c r="AB70" s="14"/>
      <c r="AC70" s="15"/>
      <c r="AD70" s="119"/>
      <c r="AF70" s="119"/>
      <c r="AG70" s="157" t="s">
        <v>244</v>
      </c>
      <c r="AH70" s="14"/>
      <c r="AI70" s="14"/>
      <c r="AJ70" s="14"/>
      <c r="AK70" s="14"/>
      <c r="AL70" s="14"/>
      <c r="AM70" s="14"/>
      <c r="AN70" s="14"/>
      <c r="AO70" s="14"/>
      <c r="AP70" s="14"/>
      <c r="AQ70" s="14"/>
      <c r="AR70" s="15"/>
      <c r="AS70" s="119"/>
      <c r="AU70" s="119"/>
      <c r="AV70" s="157" t="s">
        <v>244</v>
      </c>
      <c r="AW70" s="14"/>
      <c r="AX70" s="14"/>
      <c r="AY70" s="14"/>
      <c r="AZ70" s="14"/>
      <c r="BA70" s="14"/>
      <c r="BB70" s="14"/>
      <c r="BC70" s="14"/>
      <c r="BD70" s="14"/>
      <c r="BE70" s="14"/>
      <c r="BF70" s="14"/>
      <c r="BG70" s="15"/>
      <c r="BH70" s="119"/>
    </row>
    <row r="71">
      <c r="B71" s="119"/>
      <c r="C71" s="53" t="s">
        <v>47</v>
      </c>
      <c r="D71" s="14"/>
      <c r="E71" s="14"/>
      <c r="F71" s="15"/>
      <c r="G71" s="165" t="s">
        <v>81</v>
      </c>
      <c r="H71" s="14"/>
      <c r="I71" s="15"/>
      <c r="J71" s="112" t="s">
        <v>60</v>
      </c>
      <c r="K71" s="15"/>
      <c r="L71" s="53" t="s">
        <v>245</v>
      </c>
      <c r="M71" s="14"/>
      <c r="N71" s="15"/>
      <c r="O71" s="119"/>
      <c r="Q71" s="119"/>
      <c r="R71" s="53" t="s">
        <v>47</v>
      </c>
      <c r="S71" s="14"/>
      <c r="T71" s="14"/>
      <c r="U71" s="15"/>
      <c r="V71" s="165" t="s">
        <v>81</v>
      </c>
      <c r="W71" s="14"/>
      <c r="X71" s="15"/>
      <c r="Y71" s="112" t="s">
        <v>60</v>
      </c>
      <c r="Z71" s="15"/>
      <c r="AA71" s="53" t="s">
        <v>245</v>
      </c>
      <c r="AB71" s="14"/>
      <c r="AC71" s="15"/>
      <c r="AD71" s="119"/>
      <c r="AF71" s="119"/>
      <c r="AG71" s="53" t="s">
        <v>47</v>
      </c>
      <c r="AH71" s="14"/>
      <c r="AI71" s="14"/>
      <c r="AJ71" s="15"/>
      <c r="AK71" s="165" t="s">
        <v>81</v>
      </c>
      <c r="AL71" s="14"/>
      <c r="AM71" s="15"/>
      <c r="AN71" s="112" t="s">
        <v>60</v>
      </c>
      <c r="AO71" s="15"/>
      <c r="AP71" s="53" t="s">
        <v>245</v>
      </c>
      <c r="AQ71" s="14"/>
      <c r="AR71" s="15"/>
      <c r="AS71" s="119"/>
      <c r="AU71" s="119"/>
      <c r="AV71" s="53" t="s">
        <v>47</v>
      </c>
      <c r="AW71" s="14"/>
      <c r="AX71" s="14"/>
      <c r="AY71" s="15"/>
      <c r="AZ71" s="165" t="s">
        <v>81</v>
      </c>
      <c r="BA71" s="14"/>
      <c r="BB71" s="15"/>
      <c r="BC71" s="112" t="s">
        <v>60</v>
      </c>
      <c r="BD71" s="15"/>
      <c r="BE71" s="53" t="s">
        <v>245</v>
      </c>
      <c r="BF71" s="14"/>
      <c r="BG71" s="15"/>
      <c r="BH71" s="119"/>
    </row>
    <row r="72">
      <c r="B72" s="119"/>
      <c r="C72" s="164"/>
      <c r="D72" s="14"/>
      <c r="E72" s="14"/>
      <c r="F72" s="15"/>
      <c r="G72" s="164"/>
      <c r="H72" s="14"/>
      <c r="I72" s="15"/>
      <c r="J72" s="166"/>
      <c r="K72" s="15"/>
      <c r="L72" s="168"/>
      <c r="M72" s="14"/>
      <c r="N72" s="15"/>
      <c r="O72" s="119"/>
      <c r="Q72" s="119"/>
      <c r="R72" s="164"/>
      <c r="S72" s="14"/>
      <c r="T72" s="14"/>
      <c r="U72" s="15"/>
      <c r="V72" s="164"/>
      <c r="W72" s="14"/>
      <c r="X72" s="15"/>
      <c r="Y72" s="166"/>
      <c r="Z72" s="15"/>
      <c r="AA72" s="168"/>
      <c r="AB72" s="14"/>
      <c r="AC72" s="15"/>
      <c r="AD72" s="119"/>
      <c r="AF72" s="119"/>
      <c r="AG72" s="164"/>
      <c r="AH72" s="14"/>
      <c r="AI72" s="14"/>
      <c r="AJ72" s="15"/>
      <c r="AK72" s="164"/>
      <c r="AL72" s="14"/>
      <c r="AM72" s="15"/>
      <c r="AN72" s="166"/>
      <c r="AO72" s="15"/>
      <c r="AP72" s="168"/>
      <c r="AQ72" s="14"/>
      <c r="AR72" s="15"/>
      <c r="AS72" s="119"/>
      <c r="AU72" s="119"/>
      <c r="AV72" s="164"/>
      <c r="AW72" s="14"/>
      <c r="AX72" s="14"/>
      <c r="AY72" s="15"/>
      <c r="AZ72" s="164"/>
      <c r="BA72" s="14"/>
      <c r="BB72" s="15"/>
      <c r="BC72" s="166"/>
      <c r="BD72" s="15"/>
      <c r="BE72" s="168"/>
      <c r="BF72" s="14"/>
      <c r="BG72" s="15"/>
      <c r="BH72" s="119"/>
    </row>
    <row r="73">
      <c r="B73" s="119"/>
      <c r="C73" s="164"/>
      <c r="D73" s="14"/>
      <c r="E73" s="14"/>
      <c r="F73" s="15"/>
      <c r="G73" s="164"/>
      <c r="H73" s="14"/>
      <c r="I73" s="15"/>
      <c r="J73" s="166"/>
      <c r="K73" s="15"/>
      <c r="L73" s="168"/>
      <c r="M73" s="14"/>
      <c r="N73" s="15"/>
      <c r="O73" s="119"/>
      <c r="Q73" s="119"/>
      <c r="R73" s="164"/>
      <c r="S73" s="14"/>
      <c r="T73" s="14"/>
      <c r="U73" s="15"/>
      <c r="V73" s="164"/>
      <c r="W73" s="14"/>
      <c r="X73" s="15"/>
      <c r="Y73" s="166"/>
      <c r="Z73" s="15"/>
      <c r="AA73" s="168"/>
      <c r="AB73" s="14"/>
      <c r="AC73" s="15"/>
      <c r="AD73" s="119"/>
      <c r="AF73" s="119"/>
      <c r="AG73" s="164"/>
      <c r="AH73" s="14"/>
      <c r="AI73" s="14"/>
      <c r="AJ73" s="15"/>
      <c r="AK73" s="164"/>
      <c r="AL73" s="14"/>
      <c r="AM73" s="15"/>
      <c r="AN73" s="166"/>
      <c r="AO73" s="15"/>
      <c r="AP73" s="168"/>
      <c r="AQ73" s="14"/>
      <c r="AR73" s="15"/>
      <c r="AS73" s="119"/>
      <c r="AU73" s="119"/>
      <c r="AV73" s="164"/>
      <c r="AW73" s="14"/>
      <c r="AX73" s="14"/>
      <c r="AY73" s="15"/>
      <c r="AZ73" s="164"/>
      <c r="BA73" s="14"/>
      <c r="BB73" s="15"/>
      <c r="BC73" s="166"/>
      <c r="BD73" s="15"/>
      <c r="BE73" s="168"/>
      <c r="BF73" s="14"/>
      <c r="BG73" s="15"/>
      <c r="BH73" s="119"/>
    </row>
    <row r="74">
      <c r="B74" s="119"/>
      <c r="C74" s="164"/>
      <c r="D74" s="14"/>
      <c r="E74" s="14"/>
      <c r="F74" s="15"/>
      <c r="G74" s="164"/>
      <c r="H74" s="14"/>
      <c r="I74" s="15"/>
      <c r="J74" s="166"/>
      <c r="K74" s="15"/>
      <c r="L74" s="168"/>
      <c r="M74" s="14"/>
      <c r="N74" s="15"/>
      <c r="O74" s="119"/>
      <c r="Q74" s="119"/>
      <c r="R74" s="164"/>
      <c r="S74" s="14"/>
      <c r="T74" s="14"/>
      <c r="U74" s="15"/>
      <c r="V74" s="164"/>
      <c r="W74" s="14"/>
      <c r="X74" s="15"/>
      <c r="Y74" s="166"/>
      <c r="Z74" s="15"/>
      <c r="AA74" s="168"/>
      <c r="AB74" s="14"/>
      <c r="AC74" s="15"/>
      <c r="AD74" s="119"/>
      <c r="AF74" s="119"/>
      <c r="AG74" s="164"/>
      <c r="AH74" s="14"/>
      <c r="AI74" s="14"/>
      <c r="AJ74" s="15"/>
      <c r="AK74" s="164"/>
      <c r="AL74" s="14"/>
      <c r="AM74" s="15"/>
      <c r="AN74" s="166"/>
      <c r="AO74" s="15"/>
      <c r="AP74" s="168"/>
      <c r="AQ74" s="14"/>
      <c r="AR74" s="15"/>
      <c r="AS74" s="119"/>
      <c r="AU74" s="119"/>
      <c r="AV74" s="164"/>
      <c r="AW74" s="14"/>
      <c r="AX74" s="14"/>
      <c r="AY74" s="15"/>
      <c r="AZ74" s="164"/>
      <c r="BA74" s="14"/>
      <c r="BB74" s="15"/>
      <c r="BC74" s="166"/>
      <c r="BD74" s="15"/>
      <c r="BE74" s="168"/>
      <c r="BF74" s="14"/>
      <c r="BG74" s="15"/>
      <c r="BH74" s="119"/>
    </row>
    <row r="75">
      <c r="B75" s="119"/>
      <c r="C75" s="164"/>
      <c r="D75" s="14"/>
      <c r="E75" s="14"/>
      <c r="F75" s="15"/>
      <c r="G75" s="164"/>
      <c r="H75" s="14"/>
      <c r="I75" s="15"/>
      <c r="J75" s="166"/>
      <c r="K75" s="15"/>
      <c r="L75" s="168"/>
      <c r="M75" s="14"/>
      <c r="N75" s="15"/>
      <c r="O75" s="119"/>
      <c r="Q75" s="119"/>
      <c r="R75" s="164"/>
      <c r="S75" s="14"/>
      <c r="T75" s="14"/>
      <c r="U75" s="15"/>
      <c r="V75" s="164"/>
      <c r="W75" s="14"/>
      <c r="X75" s="15"/>
      <c r="Y75" s="166"/>
      <c r="Z75" s="15"/>
      <c r="AA75" s="168"/>
      <c r="AB75" s="14"/>
      <c r="AC75" s="15"/>
      <c r="AD75" s="119"/>
      <c r="AF75" s="119"/>
      <c r="AG75" s="164"/>
      <c r="AH75" s="14"/>
      <c r="AI75" s="14"/>
      <c r="AJ75" s="15"/>
      <c r="AK75" s="164"/>
      <c r="AL75" s="14"/>
      <c r="AM75" s="15"/>
      <c r="AN75" s="166"/>
      <c r="AO75" s="15"/>
      <c r="AP75" s="168"/>
      <c r="AQ75" s="14"/>
      <c r="AR75" s="15"/>
      <c r="AS75" s="119"/>
      <c r="AU75" s="119"/>
      <c r="AV75" s="164"/>
      <c r="AW75" s="14"/>
      <c r="AX75" s="14"/>
      <c r="AY75" s="15"/>
      <c r="AZ75" s="164"/>
      <c r="BA75" s="14"/>
      <c r="BB75" s="15"/>
      <c r="BC75" s="166"/>
      <c r="BD75" s="15"/>
      <c r="BE75" s="168"/>
      <c r="BF75" s="14"/>
      <c r="BG75" s="15"/>
      <c r="BH75" s="119"/>
    </row>
    <row r="76">
      <c r="B76" s="119"/>
      <c r="C76" s="164"/>
      <c r="D76" s="14"/>
      <c r="E76" s="14"/>
      <c r="F76" s="15"/>
      <c r="G76" s="164"/>
      <c r="H76" s="14"/>
      <c r="I76" s="15"/>
      <c r="J76" s="166"/>
      <c r="K76" s="15"/>
      <c r="L76" s="168"/>
      <c r="M76" s="14"/>
      <c r="N76" s="15"/>
      <c r="O76" s="119"/>
      <c r="Q76" s="119"/>
      <c r="R76" s="164"/>
      <c r="S76" s="14"/>
      <c r="T76" s="14"/>
      <c r="U76" s="15"/>
      <c r="V76" s="164"/>
      <c r="W76" s="14"/>
      <c r="X76" s="15"/>
      <c r="Y76" s="166"/>
      <c r="Z76" s="15"/>
      <c r="AA76" s="168"/>
      <c r="AB76" s="14"/>
      <c r="AC76" s="15"/>
      <c r="AD76" s="119"/>
      <c r="AF76" s="119"/>
      <c r="AG76" s="164"/>
      <c r="AH76" s="14"/>
      <c r="AI76" s="14"/>
      <c r="AJ76" s="15"/>
      <c r="AK76" s="164"/>
      <c r="AL76" s="14"/>
      <c r="AM76" s="15"/>
      <c r="AN76" s="166"/>
      <c r="AO76" s="15"/>
      <c r="AP76" s="168"/>
      <c r="AQ76" s="14"/>
      <c r="AR76" s="15"/>
      <c r="AS76" s="119"/>
      <c r="AU76" s="119"/>
      <c r="AV76" s="164"/>
      <c r="AW76" s="14"/>
      <c r="AX76" s="14"/>
      <c r="AY76" s="15"/>
      <c r="AZ76" s="164"/>
      <c r="BA76" s="14"/>
      <c r="BB76" s="15"/>
      <c r="BC76" s="166"/>
      <c r="BD76" s="15"/>
      <c r="BE76" s="168"/>
      <c r="BF76" s="14"/>
      <c r="BG76" s="15"/>
      <c r="BH76" s="119"/>
    </row>
    <row r="77">
      <c r="B77" s="119"/>
      <c r="C77" s="164"/>
      <c r="D77" s="14"/>
      <c r="E77" s="14"/>
      <c r="F77" s="15"/>
      <c r="G77" s="164"/>
      <c r="H77" s="14"/>
      <c r="I77" s="15"/>
      <c r="J77" s="166"/>
      <c r="K77" s="15"/>
      <c r="L77" s="168"/>
      <c r="M77" s="14"/>
      <c r="N77" s="15"/>
      <c r="O77" s="119"/>
      <c r="Q77" s="119"/>
      <c r="R77" s="164"/>
      <c r="S77" s="14"/>
      <c r="T77" s="14"/>
      <c r="U77" s="15"/>
      <c r="V77" s="164"/>
      <c r="W77" s="14"/>
      <c r="X77" s="15"/>
      <c r="Y77" s="166"/>
      <c r="Z77" s="15"/>
      <c r="AA77" s="168"/>
      <c r="AB77" s="14"/>
      <c r="AC77" s="15"/>
      <c r="AD77" s="119"/>
      <c r="AF77" s="119"/>
      <c r="AG77" s="164"/>
      <c r="AH77" s="14"/>
      <c r="AI77" s="14"/>
      <c r="AJ77" s="15"/>
      <c r="AK77" s="164"/>
      <c r="AL77" s="14"/>
      <c r="AM77" s="15"/>
      <c r="AN77" s="166"/>
      <c r="AO77" s="15"/>
      <c r="AP77" s="168"/>
      <c r="AQ77" s="14"/>
      <c r="AR77" s="15"/>
      <c r="AS77" s="119"/>
      <c r="AU77" s="119"/>
      <c r="AV77" s="164"/>
      <c r="AW77" s="14"/>
      <c r="AX77" s="14"/>
      <c r="AY77" s="15"/>
      <c r="AZ77" s="164"/>
      <c r="BA77" s="14"/>
      <c r="BB77" s="15"/>
      <c r="BC77" s="166"/>
      <c r="BD77" s="15"/>
      <c r="BE77" s="168"/>
      <c r="BF77" s="14"/>
      <c r="BG77" s="15"/>
      <c r="BH77" s="119"/>
    </row>
    <row r="78">
      <c r="B78" s="119"/>
      <c r="C78" s="164"/>
      <c r="D78" s="14"/>
      <c r="E78" s="14"/>
      <c r="F78" s="15"/>
      <c r="G78" s="164"/>
      <c r="H78" s="14"/>
      <c r="I78" s="15"/>
      <c r="J78" s="166"/>
      <c r="K78" s="15"/>
      <c r="L78" s="168"/>
      <c r="M78" s="14"/>
      <c r="N78" s="15"/>
      <c r="O78" s="119"/>
      <c r="Q78" s="119"/>
      <c r="R78" s="164"/>
      <c r="S78" s="14"/>
      <c r="T78" s="14"/>
      <c r="U78" s="15"/>
      <c r="V78" s="164"/>
      <c r="W78" s="14"/>
      <c r="X78" s="15"/>
      <c r="Y78" s="166"/>
      <c r="Z78" s="15"/>
      <c r="AA78" s="168"/>
      <c r="AB78" s="14"/>
      <c r="AC78" s="15"/>
      <c r="AD78" s="119"/>
      <c r="AF78" s="119"/>
      <c r="AG78" s="164"/>
      <c r="AH78" s="14"/>
      <c r="AI78" s="14"/>
      <c r="AJ78" s="15"/>
      <c r="AK78" s="164"/>
      <c r="AL78" s="14"/>
      <c r="AM78" s="15"/>
      <c r="AN78" s="166"/>
      <c r="AO78" s="15"/>
      <c r="AP78" s="168"/>
      <c r="AQ78" s="14"/>
      <c r="AR78" s="15"/>
      <c r="AS78" s="119"/>
      <c r="AU78" s="119"/>
      <c r="AV78" s="164"/>
      <c r="AW78" s="14"/>
      <c r="AX78" s="14"/>
      <c r="AY78" s="15"/>
      <c r="AZ78" s="164"/>
      <c r="BA78" s="14"/>
      <c r="BB78" s="15"/>
      <c r="BC78" s="166"/>
      <c r="BD78" s="15"/>
      <c r="BE78" s="168"/>
      <c r="BF78" s="14"/>
      <c r="BG78" s="15"/>
      <c r="BH78" s="119"/>
    </row>
    <row r="79">
      <c r="B79" s="119"/>
      <c r="C79" s="164"/>
      <c r="D79" s="14"/>
      <c r="E79" s="14"/>
      <c r="F79" s="15"/>
      <c r="G79" s="164"/>
      <c r="H79" s="14"/>
      <c r="I79" s="15"/>
      <c r="J79" s="166"/>
      <c r="K79" s="15"/>
      <c r="L79" s="168"/>
      <c r="M79" s="14"/>
      <c r="N79" s="15"/>
      <c r="O79" s="119"/>
      <c r="Q79" s="119"/>
      <c r="R79" s="164"/>
      <c r="S79" s="14"/>
      <c r="T79" s="14"/>
      <c r="U79" s="15"/>
      <c r="V79" s="164"/>
      <c r="W79" s="14"/>
      <c r="X79" s="15"/>
      <c r="Y79" s="166"/>
      <c r="Z79" s="15"/>
      <c r="AA79" s="168"/>
      <c r="AB79" s="14"/>
      <c r="AC79" s="15"/>
      <c r="AD79" s="119"/>
      <c r="AF79" s="119"/>
      <c r="AG79" s="164"/>
      <c r="AH79" s="14"/>
      <c r="AI79" s="14"/>
      <c r="AJ79" s="15"/>
      <c r="AK79" s="164"/>
      <c r="AL79" s="14"/>
      <c r="AM79" s="15"/>
      <c r="AN79" s="166"/>
      <c r="AO79" s="15"/>
      <c r="AP79" s="168"/>
      <c r="AQ79" s="14"/>
      <c r="AR79" s="15"/>
      <c r="AS79" s="119"/>
      <c r="AU79" s="119"/>
      <c r="AV79" s="164"/>
      <c r="AW79" s="14"/>
      <c r="AX79" s="14"/>
      <c r="AY79" s="15"/>
      <c r="AZ79" s="164"/>
      <c r="BA79" s="14"/>
      <c r="BB79" s="15"/>
      <c r="BC79" s="166"/>
      <c r="BD79" s="15"/>
      <c r="BE79" s="168"/>
      <c r="BF79" s="14"/>
      <c r="BG79" s="15"/>
      <c r="BH79" s="119"/>
    </row>
    <row r="80">
      <c r="B80" s="119"/>
      <c r="C80" s="164"/>
      <c r="D80" s="14"/>
      <c r="E80" s="14"/>
      <c r="F80" s="15"/>
      <c r="G80" s="164"/>
      <c r="H80" s="14"/>
      <c r="I80" s="15"/>
      <c r="J80" s="166"/>
      <c r="K80" s="15"/>
      <c r="L80" s="168"/>
      <c r="M80" s="14"/>
      <c r="N80" s="15"/>
      <c r="O80" s="119"/>
      <c r="Q80" s="119"/>
      <c r="R80" s="164"/>
      <c r="S80" s="14"/>
      <c r="T80" s="14"/>
      <c r="U80" s="15"/>
      <c r="V80" s="164"/>
      <c r="W80" s="14"/>
      <c r="X80" s="15"/>
      <c r="Y80" s="166"/>
      <c r="Z80" s="15"/>
      <c r="AA80" s="168"/>
      <c r="AB80" s="14"/>
      <c r="AC80" s="15"/>
      <c r="AD80" s="119"/>
      <c r="AF80" s="119"/>
      <c r="AG80" s="164"/>
      <c r="AH80" s="14"/>
      <c r="AI80" s="14"/>
      <c r="AJ80" s="15"/>
      <c r="AK80" s="164"/>
      <c r="AL80" s="14"/>
      <c r="AM80" s="15"/>
      <c r="AN80" s="166"/>
      <c r="AO80" s="15"/>
      <c r="AP80" s="168"/>
      <c r="AQ80" s="14"/>
      <c r="AR80" s="15"/>
      <c r="AS80" s="119"/>
      <c r="AU80" s="119"/>
      <c r="AV80" s="164"/>
      <c r="AW80" s="14"/>
      <c r="AX80" s="14"/>
      <c r="AY80" s="15"/>
      <c r="AZ80" s="164"/>
      <c r="BA80" s="14"/>
      <c r="BB80" s="15"/>
      <c r="BC80" s="166"/>
      <c r="BD80" s="15"/>
      <c r="BE80" s="168"/>
      <c r="BF80" s="14"/>
      <c r="BG80" s="15"/>
      <c r="BH80" s="119"/>
    </row>
    <row r="81">
      <c r="B81" s="119"/>
      <c r="C81" s="169"/>
      <c r="D81" s="14"/>
      <c r="E81" s="14"/>
      <c r="F81" s="15"/>
      <c r="G81" s="169"/>
      <c r="H81" s="14"/>
      <c r="I81" s="15"/>
      <c r="J81" s="166"/>
      <c r="K81" s="15"/>
      <c r="L81" s="168"/>
      <c r="M81" s="14"/>
      <c r="N81" s="15"/>
      <c r="O81" s="119"/>
      <c r="Q81" s="119"/>
      <c r="R81" s="169"/>
      <c r="S81" s="14"/>
      <c r="T81" s="14"/>
      <c r="U81" s="15"/>
      <c r="V81" s="169"/>
      <c r="W81" s="14"/>
      <c r="X81" s="15"/>
      <c r="Y81" s="166"/>
      <c r="Z81" s="15"/>
      <c r="AA81" s="168"/>
      <c r="AB81" s="14"/>
      <c r="AC81" s="15"/>
      <c r="AD81" s="119"/>
      <c r="AF81" s="119"/>
      <c r="AG81" s="169"/>
      <c r="AH81" s="14"/>
      <c r="AI81" s="14"/>
      <c r="AJ81" s="15"/>
      <c r="AK81" s="169"/>
      <c r="AL81" s="14"/>
      <c r="AM81" s="15"/>
      <c r="AN81" s="166"/>
      <c r="AO81" s="15"/>
      <c r="AP81" s="168"/>
      <c r="AQ81" s="14"/>
      <c r="AR81" s="15"/>
      <c r="AS81" s="119"/>
      <c r="AU81" s="119"/>
      <c r="AV81" s="169"/>
      <c r="AW81" s="14"/>
      <c r="AX81" s="14"/>
      <c r="AY81" s="15"/>
      <c r="AZ81" s="169"/>
      <c r="BA81" s="14"/>
      <c r="BB81" s="15"/>
      <c r="BC81" s="166"/>
      <c r="BD81" s="15"/>
      <c r="BE81" s="168"/>
      <c r="BF81" s="14"/>
      <c r="BG81" s="15"/>
      <c r="BH81" s="119"/>
    </row>
    <row r="82">
      <c r="B82" s="119"/>
      <c r="C82" s="169"/>
      <c r="D82" s="14"/>
      <c r="E82" s="14"/>
      <c r="F82" s="15"/>
      <c r="G82" s="169"/>
      <c r="H82" s="14"/>
      <c r="I82" s="15"/>
      <c r="J82" s="166"/>
      <c r="K82" s="15"/>
      <c r="L82" s="168"/>
      <c r="M82" s="14"/>
      <c r="N82" s="15"/>
      <c r="O82" s="119"/>
      <c r="Q82" s="119"/>
      <c r="R82" s="169"/>
      <c r="S82" s="14"/>
      <c r="T82" s="14"/>
      <c r="U82" s="15"/>
      <c r="V82" s="169"/>
      <c r="W82" s="14"/>
      <c r="X82" s="15"/>
      <c r="Y82" s="166"/>
      <c r="Z82" s="15"/>
      <c r="AA82" s="168"/>
      <c r="AB82" s="14"/>
      <c r="AC82" s="15"/>
      <c r="AD82" s="119"/>
      <c r="AF82" s="119"/>
      <c r="AG82" s="169"/>
      <c r="AH82" s="14"/>
      <c r="AI82" s="14"/>
      <c r="AJ82" s="15"/>
      <c r="AK82" s="169"/>
      <c r="AL82" s="14"/>
      <c r="AM82" s="15"/>
      <c r="AN82" s="166"/>
      <c r="AO82" s="15"/>
      <c r="AP82" s="168"/>
      <c r="AQ82" s="14"/>
      <c r="AR82" s="15"/>
      <c r="AS82" s="119"/>
      <c r="AU82" s="119"/>
      <c r="AV82" s="169"/>
      <c r="AW82" s="14"/>
      <c r="AX82" s="14"/>
      <c r="AY82" s="15"/>
      <c r="AZ82" s="169"/>
      <c r="BA82" s="14"/>
      <c r="BB82" s="15"/>
      <c r="BC82" s="166"/>
      <c r="BD82" s="15"/>
      <c r="BE82" s="168"/>
      <c r="BF82" s="14"/>
      <c r="BG82" s="15"/>
      <c r="BH82" s="119"/>
    </row>
    <row r="83">
      <c r="B83" s="3"/>
      <c r="C83" s="169"/>
      <c r="D83" s="14"/>
      <c r="E83" s="14"/>
      <c r="F83" s="15"/>
      <c r="G83" s="169"/>
      <c r="H83" s="14"/>
      <c r="I83" s="15"/>
      <c r="J83" s="166"/>
      <c r="K83" s="15"/>
      <c r="L83" s="168"/>
      <c r="M83" s="14"/>
      <c r="N83" s="15"/>
      <c r="O83" s="3"/>
      <c r="Q83" s="3"/>
      <c r="R83" s="169"/>
      <c r="S83" s="14"/>
      <c r="T83" s="14"/>
      <c r="U83" s="15"/>
      <c r="V83" s="169"/>
      <c r="W83" s="14"/>
      <c r="X83" s="15"/>
      <c r="Y83" s="166"/>
      <c r="Z83" s="15"/>
      <c r="AA83" s="168"/>
      <c r="AB83" s="14"/>
      <c r="AC83" s="15"/>
      <c r="AD83" s="3"/>
      <c r="AF83" s="3"/>
      <c r="AG83" s="169"/>
      <c r="AH83" s="14"/>
      <c r="AI83" s="14"/>
      <c r="AJ83" s="15"/>
      <c r="AK83" s="169"/>
      <c r="AL83" s="14"/>
      <c r="AM83" s="15"/>
      <c r="AN83" s="166"/>
      <c r="AO83" s="15"/>
      <c r="AP83" s="168"/>
      <c r="AQ83" s="14"/>
      <c r="AR83" s="15"/>
      <c r="AS83" s="3"/>
      <c r="AU83" s="3"/>
      <c r="AV83" s="169"/>
      <c r="AW83" s="14"/>
      <c r="AX83" s="14"/>
      <c r="AY83" s="15"/>
      <c r="AZ83" s="169"/>
      <c r="BA83" s="14"/>
      <c r="BB83" s="15"/>
      <c r="BC83" s="166"/>
      <c r="BD83" s="15"/>
      <c r="BE83" s="168"/>
      <c r="BF83" s="14"/>
      <c r="BG83" s="15"/>
      <c r="BH83" s="3"/>
    </row>
    <row r="84">
      <c r="B84" s="29"/>
    </row>
    <row r="85">
      <c r="B85" s="142" t="s">
        <v>269</v>
      </c>
      <c r="C85" s="8"/>
      <c r="D85" s="8"/>
      <c r="E85" s="8"/>
      <c r="F85" s="8"/>
      <c r="G85" s="8"/>
      <c r="H85" s="8"/>
      <c r="I85" s="8"/>
      <c r="J85" s="8"/>
      <c r="K85" s="8"/>
      <c r="L85" s="8"/>
      <c r="M85" s="8"/>
      <c r="N85" s="8"/>
      <c r="O85" s="9"/>
      <c r="P85" s="143"/>
      <c r="Q85" s="142" t="s">
        <v>270</v>
      </c>
      <c r="R85" s="8"/>
      <c r="S85" s="8"/>
      <c r="T85" s="8"/>
      <c r="U85" s="8"/>
      <c r="V85" s="8"/>
      <c r="W85" s="8"/>
      <c r="X85" s="8"/>
      <c r="Y85" s="8"/>
      <c r="Z85" s="8"/>
      <c r="AA85" s="8"/>
      <c r="AB85" s="8"/>
      <c r="AC85" s="8"/>
      <c r="AD85" s="9"/>
      <c r="AE85" s="143"/>
      <c r="AF85" s="142" t="s">
        <v>271</v>
      </c>
      <c r="AG85" s="8"/>
      <c r="AH85" s="8"/>
      <c r="AI85" s="8"/>
      <c r="AJ85" s="8"/>
      <c r="AK85" s="8"/>
      <c r="AL85" s="8"/>
      <c r="AM85" s="8"/>
      <c r="AN85" s="8"/>
      <c r="AO85" s="8"/>
      <c r="AP85" s="8"/>
      <c r="AQ85" s="8"/>
      <c r="AR85" s="8"/>
      <c r="AS85" s="9"/>
      <c r="AT85" s="143"/>
      <c r="AU85" s="142" t="s">
        <v>272</v>
      </c>
      <c r="AV85" s="8"/>
      <c r="AW85" s="8"/>
      <c r="AX85" s="8"/>
      <c r="AY85" s="8"/>
      <c r="AZ85" s="8"/>
      <c r="BA85" s="8"/>
      <c r="BB85" s="8"/>
      <c r="BC85" s="8"/>
      <c r="BD85" s="8"/>
      <c r="BE85" s="8"/>
      <c r="BF85" s="8"/>
      <c r="BG85" s="8"/>
      <c r="BH85" s="9"/>
    </row>
    <row r="86">
      <c r="B86" s="21"/>
      <c r="C86" s="22"/>
      <c r="D86" s="22"/>
      <c r="E86" s="22"/>
      <c r="F86" s="22"/>
      <c r="G86" s="22"/>
      <c r="H86" s="22"/>
      <c r="I86" s="22"/>
      <c r="J86" s="22"/>
      <c r="K86" s="22"/>
      <c r="L86" s="22"/>
      <c r="M86" s="22"/>
      <c r="N86" s="22"/>
      <c r="O86" s="23"/>
      <c r="Q86" s="21"/>
      <c r="R86" s="22"/>
      <c r="S86" s="22"/>
      <c r="T86" s="22"/>
      <c r="U86" s="22"/>
      <c r="V86" s="22"/>
      <c r="W86" s="22"/>
      <c r="X86" s="22"/>
      <c r="Y86" s="22"/>
      <c r="Z86" s="22"/>
      <c r="AA86" s="22"/>
      <c r="AB86" s="22"/>
      <c r="AC86" s="22"/>
      <c r="AD86" s="23"/>
      <c r="AF86" s="21"/>
      <c r="AG86" s="22"/>
      <c r="AH86" s="22"/>
      <c r="AI86" s="22"/>
      <c r="AJ86" s="22"/>
      <c r="AK86" s="22"/>
      <c r="AL86" s="22"/>
      <c r="AM86" s="22"/>
      <c r="AN86" s="22"/>
      <c r="AO86" s="22"/>
      <c r="AP86" s="22"/>
      <c r="AQ86" s="22"/>
      <c r="AR86" s="22"/>
      <c r="AS86" s="23"/>
      <c r="AU86" s="21"/>
      <c r="AV86" s="22"/>
      <c r="AW86" s="22"/>
      <c r="AX86" s="22"/>
      <c r="AY86" s="22"/>
      <c r="AZ86" s="22"/>
      <c r="BA86" s="22"/>
      <c r="BB86" s="22"/>
      <c r="BC86" s="22"/>
      <c r="BD86" s="22"/>
      <c r="BE86" s="22"/>
      <c r="BF86" s="22"/>
      <c r="BG86" s="22"/>
      <c r="BH86" s="23"/>
    </row>
    <row r="87">
      <c r="B87" s="118"/>
      <c r="C87" s="53" t="s">
        <v>224</v>
      </c>
      <c r="D87" s="14"/>
      <c r="E87" s="14"/>
      <c r="F87" s="14"/>
      <c r="G87" s="14"/>
      <c r="H87" s="14"/>
      <c r="I87" s="14"/>
      <c r="J87" s="14"/>
      <c r="K87" s="14"/>
      <c r="L87" s="14"/>
      <c r="M87" s="14"/>
      <c r="N87" s="15"/>
      <c r="O87" s="118"/>
      <c r="Q87" s="118"/>
      <c r="R87" s="53" t="s">
        <v>224</v>
      </c>
      <c r="S87" s="14"/>
      <c r="T87" s="14"/>
      <c r="U87" s="14"/>
      <c r="V87" s="14"/>
      <c r="W87" s="14"/>
      <c r="X87" s="14"/>
      <c r="Y87" s="14"/>
      <c r="Z87" s="14"/>
      <c r="AA87" s="14"/>
      <c r="AB87" s="14"/>
      <c r="AC87" s="15"/>
      <c r="AD87" s="118"/>
      <c r="AF87" s="118"/>
      <c r="AG87" s="53" t="s">
        <v>224</v>
      </c>
      <c r="AH87" s="14"/>
      <c r="AI87" s="14"/>
      <c r="AJ87" s="14"/>
      <c r="AK87" s="14"/>
      <c r="AL87" s="14"/>
      <c r="AM87" s="14"/>
      <c r="AN87" s="14"/>
      <c r="AO87" s="14"/>
      <c r="AP87" s="14"/>
      <c r="AQ87" s="14"/>
      <c r="AR87" s="15"/>
      <c r="AS87" s="118"/>
      <c r="AU87" s="118"/>
      <c r="AV87" s="53" t="s">
        <v>224</v>
      </c>
      <c r="AW87" s="14"/>
      <c r="AX87" s="14"/>
      <c r="AY87" s="14"/>
      <c r="AZ87" s="14"/>
      <c r="BA87" s="14"/>
      <c r="BB87" s="14"/>
      <c r="BC87" s="14"/>
      <c r="BD87" s="14"/>
      <c r="BE87" s="14"/>
      <c r="BF87" s="14"/>
      <c r="BG87" s="15"/>
      <c r="BH87" s="118"/>
    </row>
    <row r="88">
      <c r="B88" s="119"/>
      <c r="C88" s="129"/>
      <c r="D88" s="14"/>
      <c r="E88" s="14"/>
      <c r="F88" s="14"/>
      <c r="G88" s="14"/>
      <c r="H88" s="14"/>
      <c r="I88" s="14"/>
      <c r="J88" s="14"/>
      <c r="K88" s="14"/>
      <c r="L88" s="14"/>
      <c r="M88" s="14"/>
      <c r="N88" s="15"/>
      <c r="O88" s="119"/>
      <c r="Q88" s="119"/>
      <c r="R88" s="129"/>
      <c r="S88" s="14"/>
      <c r="T88" s="14"/>
      <c r="U88" s="14"/>
      <c r="V88" s="14"/>
      <c r="W88" s="14"/>
      <c r="X88" s="14"/>
      <c r="Y88" s="14"/>
      <c r="Z88" s="14"/>
      <c r="AA88" s="14"/>
      <c r="AB88" s="14"/>
      <c r="AC88" s="15"/>
      <c r="AD88" s="119"/>
      <c r="AF88" s="119"/>
      <c r="AG88" s="129"/>
      <c r="AH88" s="14"/>
      <c r="AI88" s="14"/>
      <c r="AJ88" s="14"/>
      <c r="AK88" s="14"/>
      <c r="AL88" s="14"/>
      <c r="AM88" s="14"/>
      <c r="AN88" s="14"/>
      <c r="AO88" s="14"/>
      <c r="AP88" s="14"/>
      <c r="AQ88" s="14"/>
      <c r="AR88" s="15"/>
      <c r="AS88" s="119"/>
      <c r="AU88" s="119"/>
      <c r="AV88" s="129"/>
      <c r="AW88" s="14"/>
      <c r="AX88" s="14"/>
      <c r="AY88" s="14"/>
      <c r="AZ88" s="14"/>
      <c r="BA88" s="14"/>
      <c r="BB88" s="14"/>
      <c r="BC88" s="14"/>
      <c r="BD88" s="14"/>
      <c r="BE88" s="14"/>
      <c r="BF88" s="14"/>
      <c r="BG88" s="15"/>
      <c r="BH88" s="119"/>
    </row>
    <row r="89">
      <c r="B89" s="119"/>
      <c r="C89" s="144"/>
      <c r="D89" s="14"/>
      <c r="E89" s="14"/>
      <c r="F89" s="14"/>
      <c r="G89" s="14"/>
      <c r="H89" s="14"/>
      <c r="I89" s="14"/>
      <c r="J89" s="14"/>
      <c r="K89" s="14"/>
      <c r="L89" s="14"/>
      <c r="M89" s="14"/>
      <c r="N89" s="15"/>
      <c r="O89" s="119"/>
      <c r="Q89" s="119"/>
      <c r="R89" s="144"/>
      <c r="S89" s="14"/>
      <c r="T89" s="14"/>
      <c r="U89" s="14"/>
      <c r="V89" s="14"/>
      <c r="W89" s="14"/>
      <c r="X89" s="14"/>
      <c r="Y89" s="14"/>
      <c r="Z89" s="14"/>
      <c r="AA89" s="14"/>
      <c r="AB89" s="14"/>
      <c r="AC89" s="15"/>
      <c r="AD89" s="119"/>
      <c r="AF89" s="119"/>
      <c r="AG89" s="144"/>
      <c r="AH89" s="14"/>
      <c r="AI89" s="14"/>
      <c r="AJ89" s="14"/>
      <c r="AK89" s="14"/>
      <c r="AL89" s="14"/>
      <c r="AM89" s="14"/>
      <c r="AN89" s="14"/>
      <c r="AO89" s="14"/>
      <c r="AP89" s="14"/>
      <c r="AQ89" s="14"/>
      <c r="AR89" s="15"/>
      <c r="AS89" s="119"/>
      <c r="AU89" s="119"/>
      <c r="AV89" s="144"/>
      <c r="AW89" s="14"/>
      <c r="AX89" s="14"/>
      <c r="AY89" s="14"/>
      <c r="AZ89" s="14"/>
      <c r="BA89" s="14"/>
      <c r="BB89" s="14"/>
      <c r="BC89" s="14"/>
      <c r="BD89" s="14"/>
      <c r="BE89" s="14"/>
      <c r="BF89" s="14"/>
      <c r="BG89" s="15"/>
      <c r="BH89" s="119"/>
    </row>
    <row r="90">
      <c r="B90" s="119"/>
      <c r="C90" s="149"/>
      <c r="D90" s="8"/>
      <c r="E90" s="9"/>
      <c r="F90" s="150"/>
      <c r="G90" s="8"/>
      <c r="H90" s="9"/>
      <c r="I90" s="151"/>
      <c r="J90" s="8"/>
      <c r="K90" s="9"/>
      <c r="L90" s="152"/>
      <c r="M90" s="8"/>
      <c r="N90" s="9"/>
      <c r="O90" s="119"/>
      <c r="Q90" s="119"/>
      <c r="R90" s="149"/>
      <c r="S90" s="8"/>
      <c r="T90" s="9"/>
      <c r="U90" s="150"/>
      <c r="V90" s="8"/>
      <c r="W90" s="9"/>
      <c r="X90" s="151"/>
      <c r="Y90" s="8"/>
      <c r="Z90" s="9"/>
      <c r="AA90" s="152"/>
      <c r="AB90" s="8"/>
      <c r="AC90" s="9"/>
      <c r="AD90" s="119"/>
      <c r="AF90" s="119"/>
      <c r="AG90" s="149"/>
      <c r="AH90" s="8"/>
      <c r="AI90" s="9"/>
      <c r="AJ90" s="150"/>
      <c r="AK90" s="8"/>
      <c r="AL90" s="9"/>
      <c r="AM90" s="151"/>
      <c r="AN90" s="8"/>
      <c r="AO90" s="9"/>
      <c r="AP90" s="152"/>
      <c r="AQ90" s="8"/>
      <c r="AR90" s="9"/>
      <c r="AS90" s="119"/>
      <c r="AU90" s="119"/>
      <c r="AV90" s="149"/>
      <c r="AW90" s="8"/>
      <c r="AX90" s="9"/>
      <c r="AY90" s="150"/>
      <c r="AZ90" s="8"/>
      <c r="BA90" s="9"/>
      <c r="BB90" s="151"/>
      <c r="BC90" s="8"/>
      <c r="BD90" s="9"/>
      <c r="BE90" s="152"/>
      <c r="BF90" s="8"/>
      <c r="BG90" s="9"/>
      <c r="BH90" s="119"/>
    </row>
    <row r="91">
      <c r="B91" s="119"/>
      <c r="E91" s="42"/>
      <c r="F91" s="41"/>
      <c r="H91" s="42"/>
      <c r="I91" s="41"/>
      <c r="K91" s="42"/>
      <c r="L91" s="41"/>
      <c r="N91" s="42"/>
      <c r="O91" s="119"/>
      <c r="Q91" s="119"/>
      <c r="T91" s="42"/>
      <c r="U91" s="41"/>
      <c r="W91" s="42"/>
      <c r="X91" s="41"/>
      <c r="Z91" s="42"/>
      <c r="AA91" s="41"/>
      <c r="AC91" s="42"/>
      <c r="AD91" s="119"/>
      <c r="AF91" s="119"/>
      <c r="AI91" s="42"/>
      <c r="AJ91" s="41"/>
      <c r="AL91" s="42"/>
      <c r="AM91" s="41"/>
      <c r="AO91" s="42"/>
      <c r="AP91" s="41"/>
      <c r="AR91" s="42"/>
      <c r="AS91" s="119"/>
      <c r="AU91" s="119"/>
      <c r="AX91" s="42"/>
      <c r="AY91" s="41"/>
      <c r="BA91" s="42"/>
      <c r="BB91" s="41"/>
      <c r="BD91" s="42"/>
      <c r="BE91" s="41"/>
      <c r="BG91" s="42"/>
      <c r="BH91" s="119"/>
    </row>
    <row r="92">
      <c r="B92" s="119"/>
      <c r="E92" s="42"/>
      <c r="F92" s="41"/>
      <c r="H92" s="42"/>
      <c r="I92" s="41"/>
      <c r="K92" s="42"/>
      <c r="L92" s="41"/>
      <c r="N92" s="42"/>
      <c r="O92" s="119"/>
      <c r="Q92" s="119"/>
      <c r="T92" s="42"/>
      <c r="U92" s="41"/>
      <c r="W92" s="42"/>
      <c r="X92" s="41"/>
      <c r="Z92" s="42"/>
      <c r="AA92" s="41"/>
      <c r="AC92" s="42"/>
      <c r="AD92" s="119"/>
      <c r="AF92" s="119"/>
      <c r="AI92" s="42"/>
      <c r="AJ92" s="41"/>
      <c r="AL92" s="42"/>
      <c r="AM92" s="41"/>
      <c r="AO92" s="42"/>
      <c r="AP92" s="41"/>
      <c r="AR92" s="42"/>
      <c r="AS92" s="119"/>
      <c r="AU92" s="119"/>
      <c r="AX92" s="42"/>
      <c r="AY92" s="41"/>
      <c r="BA92" s="42"/>
      <c r="BB92" s="41"/>
      <c r="BD92" s="42"/>
      <c r="BE92" s="41"/>
      <c r="BG92" s="42"/>
      <c r="BH92" s="119"/>
    </row>
    <row r="93">
      <c r="B93" s="119"/>
      <c r="C93" s="22"/>
      <c r="D93" s="22"/>
      <c r="E93" s="23"/>
      <c r="F93" s="21"/>
      <c r="G93" s="22"/>
      <c r="H93" s="23"/>
      <c r="I93" s="21"/>
      <c r="J93" s="22"/>
      <c r="K93" s="23"/>
      <c r="L93" s="21"/>
      <c r="M93" s="22"/>
      <c r="N93" s="23"/>
      <c r="O93" s="119"/>
      <c r="Q93" s="119"/>
      <c r="R93" s="22"/>
      <c r="S93" s="22"/>
      <c r="T93" s="23"/>
      <c r="U93" s="21"/>
      <c r="V93" s="22"/>
      <c r="W93" s="23"/>
      <c r="X93" s="21"/>
      <c r="Y93" s="22"/>
      <c r="Z93" s="23"/>
      <c r="AA93" s="21"/>
      <c r="AB93" s="22"/>
      <c r="AC93" s="23"/>
      <c r="AD93" s="119"/>
      <c r="AF93" s="119"/>
      <c r="AG93" s="22"/>
      <c r="AH93" s="22"/>
      <c r="AI93" s="23"/>
      <c r="AJ93" s="21"/>
      <c r="AK93" s="22"/>
      <c r="AL93" s="23"/>
      <c r="AM93" s="21"/>
      <c r="AN93" s="22"/>
      <c r="AO93" s="23"/>
      <c r="AP93" s="21"/>
      <c r="AQ93" s="22"/>
      <c r="AR93" s="23"/>
      <c r="AS93" s="119"/>
      <c r="AU93" s="119"/>
      <c r="AV93" s="22"/>
      <c r="AW93" s="22"/>
      <c r="AX93" s="23"/>
      <c r="AY93" s="21"/>
      <c r="AZ93" s="22"/>
      <c r="BA93" s="23"/>
      <c r="BB93" s="21"/>
      <c r="BC93" s="22"/>
      <c r="BD93" s="23"/>
      <c r="BE93" s="21"/>
      <c r="BF93" s="22"/>
      <c r="BG93" s="23"/>
      <c r="BH93" s="119"/>
    </row>
    <row r="94">
      <c r="B94" s="119"/>
      <c r="C94" s="153" t="s">
        <v>30</v>
      </c>
      <c r="D94" s="14"/>
      <c r="E94" s="15"/>
      <c r="F94" s="26" t="s">
        <v>32</v>
      </c>
      <c r="G94" s="14"/>
      <c r="H94" s="15"/>
      <c r="I94" s="154" t="s">
        <v>28</v>
      </c>
      <c r="J94" s="8"/>
      <c r="K94" s="9"/>
      <c r="L94" s="155" t="s">
        <v>227</v>
      </c>
      <c r="M94" s="8"/>
      <c r="N94" s="9"/>
      <c r="O94" s="119"/>
      <c r="Q94" s="119"/>
      <c r="R94" s="153" t="s">
        <v>30</v>
      </c>
      <c r="S94" s="14"/>
      <c r="T94" s="15"/>
      <c r="U94" s="26" t="s">
        <v>32</v>
      </c>
      <c r="V94" s="14"/>
      <c r="W94" s="15"/>
      <c r="X94" s="154" t="s">
        <v>28</v>
      </c>
      <c r="Y94" s="8"/>
      <c r="Z94" s="9"/>
      <c r="AA94" s="155" t="s">
        <v>227</v>
      </c>
      <c r="AB94" s="8"/>
      <c r="AC94" s="9"/>
      <c r="AD94" s="119"/>
      <c r="AF94" s="119"/>
      <c r="AG94" s="153" t="s">
        <v>30</v>
      </c>
      <c r="AH94" s="14"/>
      <c r="AI94" s="15"/>
      <c r="AJ94" s="26" t="s">
        <v>32</v>
      </c>
      <c r="AK94" s="14"/>
      <c r="AL94" s="15"/>
      <c r="AM94" s="154" t="s">
        <v>28</v>
      </c>
      <c r="AN94" s="8"/>
      <c r="AO94" s="9"/>
      <c r="AP94" s="155" t="s">
        <v>227</v>
      </c>
      <c r="AQ94" s="8"/>
      <c r="AR94" s="9"/>
      <c r="AS94" s="119"/>
      <c r="AU94" s="119"/>
      <c r="AV94" s="153" t="s">
        <v>30</v>
      </c>
      <c r="AW94" s="14"/>
      <c r="AX94" s="15"/>
      <c r="AY94" s="26" t="s">
        <v>32</v>
      </c>
      <c r="AZ94" s="14"/>
      <c r="BA94" s="15"/>
      <c r="BB94" s="154" t="s">
        <v>28</v>
      </c>
      <c r="BC94" s="8"/>
      <c r="BD94" s="9"/>
      <c r="BE94" s="155" t="s">
        <v>227</v>
      </c>
      <c r="BF94" s="8"/>
      <c r="BG94" s="9"/>
      <c r="BH94" s="119"/>
    </row>
    <row r="95">
      <c r="B95" s="3"/>
      <c r="C95" s="156" t="s">
        <v>24</v>
      </c>
      <c r="I95" s="21"/>
      <c r="J95" s="22"/>
      <c r="K95" s="23"/>
      <c r="L95" s="21"/>
      <c r="M95" s="22"/>
      <c r="N95" s="23"/>
      <c r="O95" s="3"/>
      <c r="Q95" s="3"/>
      <c r="R95" s="156" t="s">
        <v>24</v>
      </c>
      <c r="X95" s="21"/>
      <c r="Y95" s="22"/>
      <c r="Z95" s="23"/>
      <c r="AA95" s="21"/>
      <c r="AB95" s="22"/>
      <c r="AC95" s="23"/>
      <c r="AD95" s="3"/>
      <c r="AF95" s="3"/>
      <c r="AG95" s="156" t="s">
        <v>24</v>
      </c>
      <c r="AM95" s="21"/>
      <c r="AN95" s="22"/>
      <c r="AO95" s="23"/>
      <c r="AP95" s="21"/>
      <c r="AQ95" s="22"/>
      <c r="AR95" s="23"/>
      <c r="AS95" s="3"/>
      <c r="AU95" s="3"/>
      <c r="AV95" s="156" t="s">
        <v>24</v>
      </c>
      <c r="BB95" s="21"/>
      <c r="BC95" s="22"/>
      <c r="BD95" s="23"/>
      <c r="BE95" s="21"/>
      <c r="BF95" s="22"/>
      <c r="BG95" s="23"/>
      <c r="BH95" s="3"/>
    </row>
    <row r="96">
      <c r="B96" s="118"/>
      <c r="C96" s="157" t="s">
        <v>23</v>
      </c>
      <c r="D96" s="14"/>
      <c r="E96" s="14"/>
      <c r="F96" s="14"/>
      <c r="G96" s="14"/>
      <c r="H96" s="14"/>
      <c r="I96" s="14"/>
      <c r="J96" s="14"/>
      <c r="K96" s="14"/>
      <c r="L96" s="14"/>
      <c r="M96" s="14"/>
      <c r="N96" s="15"/>
      <c r="O96" s="118"/>
      <c r="Q96" s="118"/>
      <c r="R96" s="157" t="s">
        <v>23</v>
      </c>
      <c r="S96" s="14"/>
      <c r="T96" s="14"/>
      <c r="U96" s="14"/>
      <c r="V96" s="14"/>
      <c r="W96" s="14"/>
      <c r="X96" s="14"/>
      <c r="Y96" s="14"/>
      <c r="Z96" s="14"/>
      <c r="AA96" s="14"/>
      <c r="AB96" s="14"/>
      <c r="AC96" s="15"/>
      <c r="AD96" s="118"/>
      <c r="AF96" s="118"/>
      <c r="AG96" s="157" t="s">
        <v>23</v>
      </c>
      <c r="AH96" s="14"/>
      <c r="AI96" s="14"/>
      <c r="AJ96" s="14"/>
      <c r="AK96" s="14"/>
      <c r="AL96" s="14"/>
      <c r="AM96" s="14"/>
      <c r="AN96" s="14"/>
      <c r="AO96" s="14"/>
      <c r="AP96" s="14"/>
      <c r="AQ96" s="14"/>
      <c r="AR96" s="15"/>
      <c r="AS96" s="118"/>
      <c r="AU96" s="118"/>
      <c r="AV96" s="157" t="s">
        <v>23</v>
      </c>
      <c r="AW96" s="14"/>
      <c r="AX96" s="14"/>
      <c r="AY96" s="14"/>
      <c r="AZ96" s="14"/>
      <c r="BA96" s="14"/>
      <c r="BB96" s="14"/>
      <c r="BC96" s="14"/>
      <c r="BD96" s="14"/>
      <c r="BE96" s="14"/>
      <c r="BF96" s="14"/>
      <c r="BG96" s="15"/>
      <c r="BH96" s="118"/>
    </row>
    <row r="97">
      <c r="B97" s="119"/>
      <c r="C97" s="53" t="s">
        <v>81</v>
      </c>
      <c r="D97" s="14"/>
      <c r="E97" s="14"/>
      <c r="F97" s="15"/>
      <c r="G97" s="53" t="s">
        <v>51</v>
      </c>
      <c r="H97" s="14"/>
      <c r="I97" s="14"/>
      <c r="J97" s="15"/>
      <c r="K97" s="158" t="s">
        <v>228</v>
      </c>
      <c r="L97" s="8"/>
      <c r="M97" s="8"/>
      <c r="N97" s="9"/>
      <c r="O97" s="119"/>
      <c r="Q97" s="119"/>
      <c r="R97" s="53" t="s">
        <v>81</v>
      </c>
      <c r="S97" s="14"/>
      <c r="T97" s="14"/>
      <c r="U97" s="15"/>
      <c r="V97" s="53" t="s">
        <v>51</v>
      </c>
      <c r="W97" s="14"/>
      <c r="X97" s="14"/>
      <c r="Y97" s="15"/>
      <c r="Z97" s="158" t="s">
        <v>228</v>
      </c>
      <c r="AA97" s="8"/>
      <c r="AB97" s="8"/>
      <c r="AC97" s="9"/>
      <c r="AD97" s="119"/>
      <c r="AF97" s="119"/>
      <c r="AG97" s="53" t="s">
        <v>81</v>
      </c>
      <c r="AH97" s="14"/>
      <c r="AI97" s="14"/>
      <c r="AJ97" s="15"/>
      <c r="AK97" s="53" t="s">
        <v>51</v>
      </c>
      <c r="AL97" s="14"/>
      <c r="AM97" s="14"/>
      <c r="AN97" s="15"/>
      <c r="AO97" s="158" t="s">
        <v>228</v>
      </c>
      <c r="AP97" s="8"/>
      <c r="AQ97" s="8"/>
      <c r="AR97" s="9"/>
      <c r="AS97" s="119"/>
      <c r="AU97" s="119"/>
      <c r="AV97" s="53" t="s">
        <v>81</v>
      </c>
      <c r="AW97" s="14"/>
      <c r="AX97" s="14"/>
      <c r="AY97" s="15"/>
      <c r="AZ97" s="53" t="s">
        <v>51</v>
      </c>
      <c r="BA97" s="14"/>
      <c r="BB97" s="14"/>
      <c r="BC97" s="15"/>
      <c r="BD97" s="158" t="s">
        <v>228</v>
      </c>
      <c r="BE97" s="8"/>
      <c r="BF97" s="8"/>
      <c r="BG97" s="9"/>
      <c r="BH97" s="119"/>
    </row>
    <row r="98">
      <c r="B98" s="119"/>
      <c r="C98" s="159" t="s">
        <v>229</v>
      </c>
      <c r="D98" s="14"/>
      <c r="E98" s="14"/>
      <c r="F98" s="15"/>
      <c r="G98" s="16"/>
      <c r="H98" s="14"/>
      <c r="I98" s="14"/>
      <c r="J98" s="15"/>
      <c r="K98" s="160">
        <f t="shared" ref="K98:K103" si="9">IF(G98&gt;=10,ROUNDDOWN((G98-10)/2,0),ROUNDUP((G98-10)/2,0))</f>
        <v>-5</v>
      </c>
      <c r="L98" s="14"/>
      <c r="M98" s="14"/>
      <c r="N98" s="15"/>
      <c r="O98" s="119"/>
      <c r="Q98" s="119"/>
      <c r="R98" s="159" t="s">
        <v>229</v>
      </c>
      <c r="S98" s="14"/>
      <c r="T98" s="14"/>
      <c r="U98" s="15"/>
      <c r="V98" s="16"/>
      <c r="W98" s="14"/>
      <c r="X98" s="14"/>
      <c r="Y98" s="15"/>
      <c r="Z98" s="160">
        <f t="shared" ref="Z98:Z103" si="10">IF(V98&gt;=10,ROUNDDOWN((V98-10)/2,0),ROUNDUP((V98-10)/2,0))</f>
        <v>-5</v>
      </c>
      <c r="AA98" s="14"/>
      <c r="AB98" s="14"/>
      <c r="AC98" s="15"/>
      <c r="AD98" s="119"/>
      <c r="AF98" s="119"/>
      <c r="AG98" s="159" t="s">
        <v>229</v>
      </c>
      <c r="AH98" s="14"/>
      <c r="AI98" s="14"/>
      <c r="AJ98" s="15"/>
      <c r="AK98" s="16"/>
      <c r="AL98" s="14"/>
      <c r="AM98" s="14"/>
      <c r="AN98" s="15"/>
      <c r="AO98" s="160">
        <f t="shared" ref="AO98:AO103" si="11">IF(AK98&gt;=10,ROUNDDOWN((AK98-10)/2,0),ROUNDUP((AK98-10)/2,0))</f>
        <v>-5</v>
      </c>
      <c r="AP98" s="14"/>
      <c r="AQ98" s="14"/>
      <c r="AR98" s="15"/>
      <c r="AS98" s="119"/>
      <c r="AU98" s="119"/>
      <c r="AV98" s="159" t="s">
        <v>229</v>
      </c>
      <c r="AW98" s="14"/>
      <c r="AX98" s="14"/>
      <c r="AY98" s="15"/>
      <c r="AZ98" s="16"/>
      <c r="BA98" s="14"/>
      <c r="BB98" s="14"/>
      <c r="BC98" s="15"/>
      <c r="BD98" s="160">
        <f t="shared" ref="BD98:BD103" si="12">IF(AZ98&gt;=10,ROUNDDOWN((AZ98-10)/2,0),ROUNDUP((AZ98-10)/2,0))</f>
        <v>-5</v>
      </c>
      <c r="BE98" s="14"/>
      <c r="BF98" s="14"/>
      <c r="BG98" s="15"/>
      <c r="BH98" s="119"/>
    </row>
    <row r="99">
      <c r="B99" s="119"/>
      <c r="C99" s="159" t="s">
        <v>54</v>
      </c>
      <c r="D99" s="14"/>
      <c r="E99" s="14"/>
      <c r="F99" s="15"/>
      <c r="G99" s="16"/>
      <c r="H99" s="14"/>
      <c r="I99" s="14"/>
      <c r="J99" s="15"/>
      <c r="K99" s="160">
        <f t="shared" si="9"/>
        <v>-5</v>
      </c>
      <c r="L99" s="14"/>
      <c r="M99" s="14"/>
      <c r="N99" s="15"/>
      <c r="O99" s="119"/>
      <c r="Q99" s="119"/>
      <c r="R99" s="159" t="s">
        <v>54</v>
      </c>
      <c r="S99" s="14"/>
      <c r="T99" s="14"/>
      <c r="U99" s="15"/>
      <c r="V99" s="16"/>
      <c r="W99" s="14"/>
      <c r="X99" s="14"/>
      <c r="Y99" s="15"/>
      <c r="Z99" s="160">
        <f t="shared" si="10"/>
        <v>-5</v>
      </c>
      <c r="AA99" s="14"/>
      <c r="AB99" s="14"/>
      <c r="AC99" s="15"/>
      <c r="AD99" s="119"/>
      <c r="AF99" s="119"/>
      <c r="AG99" s="159" t="s">
        <v>54</v>
      </c>
      <c r="AH99" s="14"/>
      <c r="AI99" s="14"/>
      <c r="AJ99" s="15"/>
      <c r="AK99" s="16"/>
      <c r="AL99" s="14"/>
      <c r="AM99" s="14"/>
      <c r="AN99" s="15"/>
      <c r="AO99" s="160">
        <f t="shared" si="11"/>
        <v>-5</v>
      </c>
      <c r="AP99" s="14"/>
      <c r="AQ99" s="14"/>
      <c r="AR99" s="15"/>
      <c r="AS99" s="119"/>
      <c r="AU99" s="119"/>
      <c r="AV99" s="159" t="s">
        <v>54</v>
      </c>
      <c r="AW99" s="14"/>
      <c r="AX99" s="14"/>
      <c r="AY99" s="15"/>
      <c r="AZ99" s="16"/>
      <c r="BA99" s="14"/>
      <c r="BB99" s="14"/>
      <c r="BC99" s="15"/>
      <c r="BD99" s="160">
        <f t="shared" si="12"/>
        <v>-5</v>
      </c>
      <c r="BE99" s="14"/>
      <c r="BF99" s="14"/>
      <c r="BG99" s="15"/>
      <c r="BH99" s="119"/>
    </row>
    <row r="100">
      <c r="B100" s="119"/>
      <c r="C100" s="159" t="s">
        <v>230</v>
      </c>
      <c r="D100" s="14"/>
      <c r="E100" s="14"/>
      <c r="F100" s="15"/>
      <c r="G100" s="111"/>
      <c r="H100" s="14"/>
      <c r="I100" s="14"/>
      <c r="J100" s="15"/>
      <c r="K100" s="160">
        <f t="shared" si="9"/>
        <v>-5</v>
      </c>
      <c r="L100" s="14"/>
      <c r="M100" s="14"/>
      <c r="N100" s="15"/>
      <c r="O100" s="119"/>
      <c r="Q100" s="119"/>
      <c r="R100" s="159" t="s">
        <v>230</v>
      </c>
      <c r="S100" s="14"/>
      <c r="T100" s="14"/>
      <c r="U100" s="15"/>
      <c r="V100" s="111"/>
      <c r="W100" s="14"/>
      <c r="X100" s="14"/>
      <c r="Y100" s="15"/>
      <c r="Z100" s="160">
        <f t="shared" si="10"/>
        <v>-5</v>
      </c>
      <c r="AA100" s="14"/>
      <c r="AB100" s="14"/>
      <c r="AC100" s="15"/>
      <c r="AD100" s="119"/>
      <c r="AF100" s="119"/>
      <c r="AG100" s="159" t="s">
        <v>230</v>
      </c>
      <c r="AH100" s="14"/>
      <c r="AI100" s="14"/>
      <c r="AJ100" s="15"/>
      <c r="AK100" s="111"/>
      <c r="AL100" s="14"/>
      <c r="AM100" s="14"/>
      <c r="AN100" s="15"/>
      <c r="AO100" s="160">
        <f t="shared" si="11"/>
        <v>-5</v>
      </c>
      <c r="AP100" s="14"/>
      <c r="AQ100" s="14"/>
      <c r="AR100" s="15"/>
      <c r="AS100" s="119"/>
      <c r="AU100" s="119"/>
      <c r="AV100" s="159" t="s">
        <v>230</v>
      </c>
      <c r="AW100" s="14"/>
      <c r="AX100" s="14"/>
      <c r="AY100" s="15"/>
      <c r="AZ100" s="16"/>
      <c r="BA100" s="14"/>
      <c r="BB100" s="14"/>
      <c r="BC100" s="15"/>
      <c r="BD100" s="160">
        <f t="shared" si="12"/>
        <v>-5</v>
      </c>
      <c r="BE100" s="14"/>
      <c r="BF100" s="14"/>
      <c r="BG100" s="15"/>
      <c r="BH100" s="119"/>
    </row>
    <row r="101">
      <c r="B101" s="119"/>
      <c r="C101" s="159" t="s">
        <v>231</v>
      </c>
      <c r="D101" s="14"/>
      <c r="E101" s="14"/>
      <c r="F101" s="15"/>
      <c r="G101" s="111"/>
      <c r="H101" s="14"/>
      <c r="I101" s="14"/>
      <c r="J101" s="15"/>
      <c r="K101" s="160">
        <f t="shared" si="9"/>
        <v>-5</v>
      </c>
      <c r="L101" s="14"/>
      <c r="M101" s="14"/>
      <c r="N101" s="15"/>
      <c r="O101" s="119"/>
      <c r="Q101" s="119"/>
      <c r="R101" s="159" t="s">
        <v>231</v>
      </c>
      <c r="S101" s="14"/>
      <c r="T101" s="14"/>
      <c r="U101" s="15"/>
      <c r="V101" s="111"/>
      <c r="W101" s="14"/>
      <c r="X101" s="14"/>
      <c r="Y101" s="15"/>
      <c r="Z101" s="160">
        <f t="shared" si="10"/>
        <v>-5</v>
      </c>
      <c r="AA101" s="14"/>
      <c r="AB101" s="14"/>
      <c r="AC101" s="15"/>
      <c r="AD101" s="119"/>
      <c r="AF101" s="119"/>
      <c r="AG101" s="159" t="s">
        <v>231</v>
      </c>
      <c r="AH101" s="14"/>
      <c r="AI101" s="14"/>
      <c r="AJ101" s="15"/>
      <c r="AK101" s="111"/>
      <c r="AL101" s="14"/>
      <c r="AM101" s="14"/>
      <c r="AN101" s="15"/>
      <c r="AO101" s="160">
        <f t="shared" si="11"/>
        <v>-5</v>
      </c>
      <c r="AP101" s="14"/>
      <c r="AQ101" s="14"/>
      <c r="AR101" s="15"/>
      <c r="AS101" s="119"/>
      <c r="AU101" s="119"/>
      <c r="AV101" s="159" t="s">
        <v>231</v>
      </c>
      <c r="AW101" s="14"/>
      <c r="AX101" s="14"/>
      <c r="AY101" s="15"/>
      <c r="AZ101" s="111"/>
      <c r="BA101" s="14"/>
      <c r="BB101" s="14"/>
      <c r="BC101" s="15"/>
      <c r="BD101" s="160">
        <f t="shared" si="12"/>
        <v>-5</v>
      </c>
      <c r="BE101" s="14"/>
      <c r="BF101" s="14"/>
      <c r="BG101" s="15"/>
      <c r="BH101" s="119"/>
    </row>
    <row r="102">
      <c r="B102" s="119"/>
      <c r="C102" s="159" t="s">
        <v>232</v>
      </c>
      <c r="D102" s="14"/>
      <c r="E102" s="14"/>
      <c r="F102" s="15"/>
      <c r="G102" s="111"/>
      <c r="H102" s="14"/>
      <c r="I102" s="14"/>
      <c r="J102" s="15"/>
      <c r="K102" s="160">
        <f t="shared" si="9"/>
        <v>-5</v>
      </c>
      <c r="L102" s="14"/>
      <c r="M102" s="14"/>
      <c r="N102" s="15"/>
      <c r="O102" s="119"/>
      <c r="Q102" s="119"/>
      <c r="R102" s="159" t="s">
        <v>232</v>
      </c>
      <c r="S102" s="14"/>
      <c r="T102" s="14"/>
      <c r="U102" s="15"/>
      <c r="V102" s="111"/>
      <c r="W102" s="14"/>
      <c r="X102" s="14"/>
      <c r="Y102" s="15"/>
      <c r="Z102" s="160">
        <f t="shared" si="10"/>
        <v>-5</v>
      </c>
      <c r="AA102" s="14"/>
      <c r="AB102" s="14"/>
      <c r="AC102" s="15"/>
      <c r="AD102" s="119"/>
      <c r="AF102" s="119"/>
      <c r="AG102" s="159" t="s">
        <v>232</v>
      </c>
      <c r="AH102" s="14"/>
      <c r="AI102" s="14"/>
      <c r="AJ102" s="15"/>
      <c r="AK102" s="111"/>
      <c r="AL102" s="14"/>
      <c r="AM102" s="14"/>
      <c r="AN102" s="15"/>
      <c r="AO102" s="160">
        <f t="shared" si="11"/>
        <v>-5</v>
      </c>
      <c r="AP102" s="14"/>
      <c r="AQ102" s="14"/>
      <c r="AR102" s="15"/>
      <c r="AS102" s="119"/>
      <c r="AU102" s="119"/>
      <c r="AV102" s="159" t="s">
        <v>232</v>
      </c>
      <c r="AW102" s="14"/>
      <c r="AX102" s="14"/>
      <c r="AY102" s="15"/>
      <c r="AZ102" s="111"/>
      <c r="BA102" s="14"/>
      <c r="BB102" s="14"/>
      <c r="BC102" s="15"/>
      <c r="BD102" s="160">
        <f t="shared" si="12"/>
        <v>-5</v>
      </c>
      <c r="BE102" s="14"/>
      <c r="BF102" s="14"/>
      <c r="BG102" s="15"/>
      <c r="BH102" s="119"/>
    </row>
    <row r="103">
      <c r="B103" s="119"/>
      <c r="C103" s="161" t="s">
        <v>209</v>
      </c>
      <c r="D103" s="14"/>
      <c r="E103" s="14"/>
      <c r="F103" s="15"/>
      <c r="G103" s="111"/>
      <c r="H103" s="14"/>
      <c r="I103" s="14"/>
      <c r="J103" s="15"/>
      <c r="K103" s="160">
        <f t="shared" si="9"/>
        <v>-5</v>
      </c>
      <c r="L103" s="14"/>
      <c r="M103" s="14"/>
      <c r="N103" s="15"/>
      <c r="O103" s="119"/>
      <c r="Q103" s="119"/>
      <c r="R103" s="161" t="s">
        <v>209</v>
      </c>
      <c r="S103" s="14"/>
      <c r="T103" s="14"/>
      <c r="U103" s="15"/>
      <c r="V103" s="111"/>
      <c r="W103" s="14"/>
      <c r="X103" s="14"/>
      <c r="Y103" s="15"/>
      <c r="Z103" s="160">
        <f t="shared" si="10"/>
        <v>-5</v>
      </c>
      <c r="AA103" s="14"/>
      <c r="AB103" s="14"/>
      <c r="AC103" s="15"/>
      <c r="AD103" s="119"/>
      <c r="AF103" s="119"/>
      <c r="AG103" s="161" t="s">
        <v>209</v>
      </c>
      <c r="AH103" s="14"/>
      <c r="AI103" s="14"/>
      <c r="AJ103" s="15"/>
      <c r="AK103" s="111"/>
      <c r="AL103" s="14"/>
      <c r="AM103" s="14"/>
      <c r="AN103" s="15"/>
      <c r="AO103" s="160">
        <f t="shared" si="11"/>
        <v>-5</v>
      </c>
      <c r="AP103" s="14"/>
      <c r="AQ103" s="14"/>
      <c r="AR103" s="15"/>
      <c r="AS103" s="119"/>
      <c r="AU103" s="119"/>
      <c r="AV103" s="161" t="s">
        <v>209</v>
      </c>
      <c r="AW103" s="14"/>
      <c r="AX103" s="14"/>
      <c r="AY103" s="15"/>
      <c r="AZ103" s="111"/>
      <c r="BA103" s="14"/>
      <c r="BB103" s="14"/>
      <c r="BC103" s="15"/>
      <c r="BD103" s="160">
        <f t="shared" si="12"/>
        <v>-5</v>
      </c>
      <c r="BE103" s="14"/>
      <c r="BF103" s="14"/>
      <c r="BG103" s="15"/>
      <c r="BH103" s="119"/>
    </row>
    <row r="104">
      <c r="B104" s="119"/>
      <c r="C104" s="162" t="s">
        <v>233</v>
      </c>
      <c r="D104" s="14"/>
      <c r="E104" s="14"/>
      <c r="F104" s="14"/>
      <c r="G104" s="14"/>
      <c r="H104" s="14"/>
      <c r="I104" s="14"/>
      <c r="J104" s="14"/>
      <c r="K104" s="14"/>
      <c r="L104" s="14"/>
      <c r="M104" s="14"/>
      <c r="N104" s="15"/>
      <c r="O104" s="119"/>
      <c r="Q104" s="119"/>
      <c r="R104" s="162" t="s">
        <v>233</v>
      </c>
      <c r="S104" s="14"/>
      <c r="T104" s="14"/>
      <c r="U104" s="14"/>
      <c r="V104" s="14"/>
      <c r="W104" s="14"/>
      <c r="X104" s="14"/>
      <c r="Y104" s="14"/>
      <c r="Z104" s="14"/>
      <c r="AA104" s="14"/>
      <c r="AB104" s="14"/>
      <c r="AC104" s="15"/>
      <c r="AD104" s="119"/>
      <c r="AF104" s="119"/>
      <c r="AG104" s="162" t="s">
        <v>233</v>
      </c>
      <c r="AH104" s="14"/>
      <c r="AI104" s="14"/>
      <c r="AJ104" s="14"/>
      <c r="AK104" s="14"/>
      <c r="AL104" s="14"/>
      <c r="AM104" s="14"/>
      <c r="AN104" s="14"/>
      <c r="AO104" s="14"/>
      <c r="AP104" s="14"/>
      <c r="AQ104" s="14"/>
      <c r="AR104" s="15"/>
      <c r="AS104" s="119"/>
      <c r="AU104" s="119"/>
      <c r="AV104" s="162" t="s">
        <v>233</v>
      </c>
      <c r="AW104" s="14"/>
      <c r="AX104" s="14"/>
      <c r="AY104" s="14"/>
      <c r="AZ104" s="14"/>
      <c r="BA104" s="14"/>
      <c r="BB104" s="14"/>
      <c r="BC104" s="14"/>
      <c r="BD104" s="14"/>
      <c r="BE104" s="14"/>
      <c r="BF104" s="14"/>
      <c r="BG104" s="15"/>
      <c r="BH104" s="119"/>
    </row>
    <row r="105">
      <c r="B105" s="119"/>
      <c r="C105" s="164"/>
      <c r="D105" s="14"/>
      <c r="E105" s="14"/>
      <c r="F105" s="14"/>
      <c r="G105" s="14"/>
      <c r="H105" s="15"/>
      <c r="I105" s="164"/>
      <c r="J105" s="14"/>
      <c r="K105" s="14"/>
      <c r="L105" s="14"/>
      <c r="M105" s="14"/>
      <c r="N105" s="15"/>
      <c r="O105" s="119"/>
      <c r="Q105" s="119"/>
      <c r="R105" s="164"/>
      <c r="S105" s="14"/>
      <c r="T105" s="14"/>
      <c r="U105" s="14"/>
      <c r="V105" s="14"/>
      <c r="W105" s="15"/>
      <c r="X105" s="164"/>
      <c r="Y105" s="14"/>
      <c r="Z105" s="14"/>
      <c r="AA105" s="14"/>
      <c r="AB105" s="14"/>
      <c r="AC105" s="15"/>
      <c r="AD105" s="119"/>
      <c r="AF105" s="119"/>
      <c r="AG105" s="164"/>
      <c r="AH105" s="14"/>
      <c r="AI105" s="14"/>
      <c r="AJ105" s="14"/>
      <c r="AK105" s="14"/>
      <c r="AL105" s="15"/>
      <c r="AM105" s="164"/>
      <c r="AN105" s="14"/>
      <c r="AO105" s="14"/>
      <c r="AP105" s="14"/>
      <c r="AQ105" s="14"/>
      <c r="AR105" s="15"/>
      <c r="AS105" s="119"/>
      <c r="AU105" s="119"/>
      <c r="AV105" s="164"/>
      <c r="AW105" s="14"/>
      <c r="AX105" s="14"/>
      <c r="AY105" s="14"/>
      <c r="AZ105" s="14"/>
      <c r="BA105" s="15"/>
      <c r="BB105" s="164"/>
      <c r="BC105" s="14"/>
      <c r="BD105" s="14"/>
      <c r="BE105" s="14"/>
      <c r="BF105" s="14"/>
      <c r="BG105" s="15"/>
      <c r="BH105" s="119"/>
    </row>
    <row r="106">
      <c r="B106" s="119"/>
      <c r="C106" s="164"/>
      <c r="D106" s="14"/>
      <c r="E106" s="14"/>
      <c r="F106" s="14"/>
      <c r="G106" s="14"/>
      <c r="H106" s="15"/>
      <c r="I106" s="164"/>
      <c r="J106" s="14"/>
      <c r="K106" s="14"/>
      <c r="L106" s="14"/>
      <c r="M106" s="14"/>
      <c r="N106" s="15"/>
      <c r="O106" s="119"/>
      <c r="Q106" s="119"/>
      <c r="R106" s="164"/>
      <c r="S106" s="14"/>
      <c r="T106" s="14"/>
      <c r="U106" s="14"/>
      <c r="V106" s="14"/>
      <c r="W106" s="15"/>
      <c r="X106" s="164"/>
      <c r="Y106" s="14"/>
      <c r="Z106" s="14"/>
      <c r="AA106" s="14"/>
      <c r="AB106" s="14"/>
      <c r="AC106" s="15"/>
      <c r="AD106" s="119"/>
      <c r="AF106" s="119"/>
      <c r="AG106" s="164"/>
      <c r="AH106" s="14"/>
      <c r="AI106" s="14"/>
      <c r="AJ106" s="14"/>
      <c r="AK106" s="14"/>
      <c r="AL106" s="15"/>
      <c r="AM106" s="164"/>
      <c r="AN106" s="14"/>
      <c r="AO106" s="14"/>
      <c r="AP106" s="14"/>
      <c r="AQ106" s="14"/>
      <c r="AR106" s="15"/>
      <c r="AS106" s="119"/>
      <c r="AU106" s="119"/>
      <c r="AV106" s="164"/>
      <c r="AW106" s="14"/>
      <c r="AX106" s="14"/>
      <c r="AY106" s="14"/>
      <c r="AZ106" s="14"/>
      <c r="BA106" s="15"/>
      <c r="BB106" s="164"/>
      <c r="BC106" s="14"/>
      <c r="BD106" s="14"/>
      <c r="BE106" s="14"/>
      <c r="BF106" s="14"/>
      <c r="BG106" s="15"/>
      <c r="BH106" s="119"/>
    </row>
    <row r="107">
      <c r="B107" s="119"/>
      <c r="C107" s="164"/>
      <c r="D107" s="14"/>
      <c r="E107" s="14"/>
      <c r="F107" s="14"/>
      <c r="G107" s="14"/>
      <c r="H107" s="15"/>
      <c r="I107" s="164"/>
      <c r="J107" s="14"/>
      <c r="K107" s="14"/>
      <c r="L107" s="14"/>
      <c r="M107" s="14"/>
      <c r="N107" s="15"/>
      <c r="O107" s="119"/>
      <c r="Q107" s="119"/>
      <c r="R107" s="164"/>
      <c r="S107" s="14"/>
      <c r="T107" s="14"/>
      <c r="U107" s="14"/>
      <c r="V107" s="14"/>
      <c r="W107" s="15"/>
      <c r="X107" s="164"/>
      <c r="Y107" s="14"/>
      <c r="Z107" s="14"/>
      <c r="AA107" s="14"/>
      <c r="AB107" s="14"/>
      <c r="AC107" s="15"/>
      <c r="AD107" s="119"/>
      <c r="AF107" s="119"/>
      <c r="AG107" s="164"/>
      <c r="AH107" s="14"/>
      <c r="AI107" s="14"/>
      <c r="AJ107" s="14"/>
      <c r="AK107" s="14"/>
      <c r="AL107" s="15"/>
      <c r="AM107" s="164"/>
      <c r="AN107" s="14"/>
      <c r="AO107" s="14"/>
      <c r="AP107" s="14"/>
      <c r="AQ107" s="14"/>
      <c r="AR107" s="15"/>
      <c r="AS107" s="119"/>
      <c r="AU107" s="119"/>
      <c r="AV107" s="164"/>
      <c r="AW107" s="14"/>
      <c r="AX107" s="14"/>
      <c r="AY107" s="14"/>
      <c r="AZ107" s="14"/>
      <c r="BA107" s="15"/>
      <c r="BB107" s="164"/>
      <c r="BC107" s="14"/>
      <c r="BD107" s="14"/>
      <c r="BE107" s="14"/>
      <c r="BF107" s="14"/>
      <c r="BG107" s="15"/>
      <c r="BH107" s="119"/>
    </row>
    <row r="108">
      <c r="B108" s="119"/>
      <c r="C108" s="164"/>
      <c r="D108" s="14"/>
      <c r="E108" s="14"/>
      <c r="F108" s="14"/>
      <c r="G108" s="14"/>
      <c r="H108" s="15"/>
      <c r="I108" s="164"/>
      <c r="J108" s="14"/>
      <c r="K108" s="14"/>
      <c r="L108" s="14"/>
      <c r="M108" s="14"/>
      <c r="N108" s="15"/>
      <c r="O108" s="119"/>
      <c r="Q108" s="119"/>
      <c r="R108" s="164"/>
      <c r="S108" s="14"/>
      <c r="T108" s="14"/>
      <c r="U108" s="14"/>
      <c r="V108" s="14"/>
      <c r="W108" s="15"/>
      <c r="X108" s="164"/>
      <c r="Y108" s="14"/>
      <c r="Z108" s="14"/>
      <c r="AA108" s="14"/>
      <c r="AB108" s="14"/>
      <c r="AC108" s="15"/>
      <c r="AD108" s="119"/>
      <c r="AF108" s="119"/>
      <c r="AG108" s="164"/>
      <c r="AH108" s="14"/>
      <c r="AI108" s="14"/>
      <c r="AJ108" s="14"/>
      <c r="AK108" s="14"/>
      <c r="AL108" s="15"/>
      <c r="AM108" s="164"/>
      <c r="AN108" s="14"/>
      <c r="AO108" s="14"/>
      <c r="AP108" s="14"/>
      <c r="AQ108" s="14"/>
      <c r="AR108" s="15"/>
      <c r="AS108" s="119"/>
      <c r="AU108" s="119"/>
      <c r="AV108" s="164"/>
      <c r="AW108" s="14"/>
      <c r="AX108" s="14"/>
      <c r="AY108" s="14"/>
      <c r="AZ108" s="14"/>
      <c r="BA108" s="15"/>
      <c r="BB108" s="164"/>
      <c r="BC108" s="14"/>
      <c r="BD108" s="14"/>
      <c r="BE108" s="14"/>
      <c r="BF108" s="14"/>
      <c r="BG108" s="15"/>
      <c r="BH108" s="119"/>
    </row>
    <row r="109">
      <c r="B109" s="119"/>
      <c r="C109" s="164"/>
      <c r="D109" s="14"/>
      <c r="E109" s="14"/>
      <c r="F109" s="14"/>
      <c r="G109" s="14"/>
      <c r="H109" s="15"/>
      <c r="I109" s="164"/>
      <c r="J109" s="14"/>
      <c r="K109" s="14"/>
      <c r="L109" s="14"/>
      <c r="M109" s="14"/>
      <c r="N109" s="15"/>
      <c r="O109" s="119"/>
      <c r="Q109" s="119"/>
      <c r="R109" s="164"/>
      <c r="S109" s="14"/>
      <c r="T109" s="14"/>
      <c r="U109" s="14"/>
      <c r="V109" s="14"/>
      <c r="W109" s="15"/>
      <c r="X109" s="164"/>
      <c r="Y109" s="14"/>
      <c r="Z109" s="14"/>
      <c r="AA109" s="14"/>
      <c r="AB109" s="14"/>
      <c r="AC109" s="15"/>
      <c r="AD109" s="119"/>
      <c r="AF109" s="119"/>
      <c r="AG109" s="164"/>
      <c r="AH109" s="14"/>
      <c r="AI109" s="14"/>
      <c r="AJ109" s="14"/>
      <c r="AK109" s="14"/>
      <c r="AL109" s="15"/>
      <c r="AM109" s="164"/>
      <c r="AN109" s="14"/>
      <c r="AO109" s="14"/>
      <c r="AP109" s="14"/>
      <c r="AQ109" s="14"/>
      <c r="AR109" s="15"/>
      <c r="AS109" s="119"/>
      <c r="AU109" s="119"/>
      <c r="AV109" s="164"/>
      <c r="AW109" s="14"/>
      <c r="AX109" s="14"/>
      <c r="AY109" s="14"/>
      <c r="AZ109" s="14"/>
      <c r="BA109" s="15"/>
      <c r="BB109" s="164"/>
      <c r="BC109" s="14"/>
      <c r="BD109" s="14"/>
      <c r="BE109" s="14"/>
      <c r="BF109" s="14"/>
      <c r="BG109" s="15"/>
      <c r="BH109" s="119"/>
    </row>
    <row r="110">
      <c r="B110" s="119"/>
      <c r="C110" s="157" t="s">
        <v>244</v>
      </c>
      <c r="D110" s="14"/>
      <c r="E110" s="14"/>
      <c r="F110" s="14"/>
      <c r="G110" s="14"/>
      <c r="H110" s="14"/>
      <c r="I110" s="14"/>
      <c r="J110" s="14"/>
      <c r="K110" s="14"/>
      <c r="L110" s="14"/>
      <c r="M110" s="14"/>
      <c r="N110" s="15"/>
      <c r="O110" s="119"/>
      <c r="Q110" s="119"/>
      <c r="R110" s="157" t="s">
        <v>244</v>
      </c>
      <c r="S110" s="14"/>
      <c r="T110" s="14"/>
      <c r="U110" s="14"/>
      <c r="V110" s="14"/>
      <c r="W110" s="14"/>
      <c r="X110" s="14"/>
      <c r="Y110" s="14"/>
      <c r="Z110" s="14"/>
      <c r="AA110" s="14"/>
      <c r="AB110" s="14"/>
      <c r="AC110" s="15"/>
      <c r="AD110" s="119"/>
      <c r="AF110" s="119"/>
      <c r="AG110" s="157" t="s">
        <v>244</v>
      </c>
      <c r="AH110" s="14"/>
      <c r="AI110" s="14"/>
      <c r="AJ110" s="14"/>
      <c r="AK110" s="14"/>
      <c r="AL110" s="14"/>
      <c r="AM110" s="14"/>
      <c r="AN110" s="14"/>
      <c r="AO110" s="14"/>
      <c r="AP110" s="14"/>
      <c r="AQ110" s="14"/>
      <c r="AR110" s="15"/>
      <c r="AS110" s="119"/>
      <c r="AU110" s="119"/>
      <c r="AV110" s="157" t="s">
        <v>244</v>
      </c>
      <c r="AW110" s="14"/>
      <c r="AX110" s="14"/>
      <c r="AY110" s="14"/>
      <c r="AZ110" s="14"/>
      <c r="BA110" s="14"/>
      <c r="BB110" s="14"/>
      <c r="BC110" s="14"/>
      <c r="BD110" s="14"/>
      <c r="BE110" s="14"/>
      <c r="BF110" s="14"/>
      <c r="BG110" s="15"/>
      <c r="BH110" s="119"/>
    </row>
    <row r="111">
      <c r="B111" s="119"/>
      <c r="C111" s="53" t="s">
        <v>47</v>
      </c>
      <c r="D111" s="14"/>
      <c r="E111" s="14"/>
      <c r="F111" s="15"/>
      <c r="G111" s="165" t="s">
        <v>81</v>
      </c>
      <c r="H111" s="14"/>
      <c r="I111" s="15"/>
      <c r="J111" s="112" t="s">
        <v>60</v>
      </c>
      <c r="K111" s="15"/>
      <c r="L111" s="53" t="s">
        <v>245</v>
      </c>
      <c r="M111" s="14"/>
      <c r="N111" s="15"/>
      <c r="O111" s="119"/>
      <c r="Q111" s="119"/>
      <c r="R111" s="53" t="s">
        <v>47</v>
      </c>
      <c r="S111" s="14"/>
      <c r="T111" s="14"/>
      <c r="U111" s="15"/>
      <c r="V111" s="165" t="s">
        <v>81</v>
      </c>
      <c r="W111" s="14"/>
      <c r="X111" s="15"/>
      <c r="Y111" s="112" t="s">
        <v>60</v>
      </c>
      <c r="Z111" s="15"/>
      <c r="AA111" s="53" t="s">
        <v>245</v>
      </c>
      <c r="AB111" s="14"/>
      <c r="AC111" s="15"/>
      <c r="AD111" s="119"/>
      <c r="AF111" s="119"/>
      <c r="AG111" s="53" t="s">
        <v>47</v>
      </c>
      <c r="AH111" s="14"/>
      <c r="AI111" s="14"/>
      <c r="AJ111" s="15"/>
      <c r="AK111" s="165" t="s">
        <v>81</v>
      </c>
      <c r="AL111" s="14"/>
      <c r="AM111" s="15"/>
      <c r="AN111" s="112" t="s">
        <v>60</v>
      </c>
      <c r="AO111" s="15"/>
      <c r="AP111" s="53" t="s">
        <v>245</v>
      </c>
      <c r="AQ111" s="14"/>
      <c r="AR111" s="15"/>
      <c r="AS111" s="119"/>
      <c r="AU111" s="119"/>
      <c r="AV111" s="53" t="s">
        <v>47</v>
      </c>
      <c r="AW111" s="14"/>
      <c r="AX111" s="14"/>
      <c r="AY111" s="15"/>
      <c r="AZ111" s="165" t="s">
        <v>81</v>
      </c>
      <c r="BA111" s="14"/>
      <c r="BB111" s="15"/>
      <c r="BC111" s="112" t="s">
        <v>60</v>
      </c>
      <c r="BD111" s="15"/>
      <c r="BE111" s="53" t="s">
        <v>245</v>
      </c>
      <c r="BF111" s="14"/>
      <c r="BG111" s="15"/>
      <c r="BH111" s="119"/>
    </row>
    <row r="112">
      <c r="B112" s="119"/>
      <c r="C112" s="164"/>
      <c r="D112" s="14"/>
      <c r="E112" s="14"/>
      <c r="F112" s="15"/>
      <c r="G112" s="164"/>
      <c r="H112" s="14"/>
      <c r="I112" s="15"/>
      <c r="J112" s="166"/>
      <c r="K112" s="15"/>
      <c r="L112" s="168"/>
      <c r="M112" s="14"/>
      <c r="N112" s="15"/>
      <c r="O112" s="119"/>
      <c r="Q112" s="119"/>
      <c r="R112" s="164"/>
      <c r="S112" s="14"/>
      <c r="T112" s="14"/>
      <c r="U112" s="15"/>
      <c r="V112" s="164"/>
      <c r="W112" s="14"/>
      <c r="X112" s="15"/>
      <c r="Y112" s="166"/>
      <c r="Z112" s="15"/>
      <c r="AA112" s="168"/>
      <c r="AB112" s="14"/>
      <c r="AC112" s="15"/>
      <c r="AD112" s="119"/>
      <c r="AF112" s="119"/>
      <c r="AG112" s="164"/>
      <c r="AH112" s="14"/>
      <c r="AI112" s="14"/>
      <c r="AJ112" s="15"/>
      <c r="AK112" s="164"/>
      <c r="AL112" s="14"/>
      <c r="AM112" s="15"/>
      <c r="AN112" s="166"/>
      <c r="AO112" s="15"/>
      <c r="AP112" s="168"/>
      <c r="AQ112" s="14"/>
      <c r="AR112" s="15"/>
      <c r="AS112" s="119"/>
      <c r="AU112" s="119"/>
      <c r="AV112" s="164"/>
      <c r="AW112" s="14"/>
      <c r="AX112" s="14"/>
      <c r="AY112" s="15"/>
      <c r="AZ112" s="164"/>
      <c r="BA112" s="14"/>
      <c r="BB112" s="15"/>
      <c r="BC112" s="166"/>
      <c r="BD112" s="15"/>
      <c r="BE112" s="168"/>
      <c r="BF112" s="14"/>
      <c r="BG112" s="15"/>
      <c r="BH112" s="119"/>
    </row>
    <row r="113">
      <c r="B113" s="119"/>
      <c r="C113" s="164"/>
      <c r="D113" s="14"/>
      <c r="E113" s="14"/>
      <c r="F113" s="15"/>
      <c r="G113" s="164"/>
      <c r="H113" s="14"/>
      <c r="I113" s="15"/>
      <c r="J113" s="166"/>
      <c r="K113" s="15"/>
      <c r="L113" s="168"/>
      <c r="M113" s="14"/>
      <c r="N113" s="15"/>
      <c r="O113" s="119"/>
      <c r="Q113" s="119"/>
      <c r="R113" s="164"/>
      <c r="S113" s="14"/>
      <c r="T113" s="14"/>
      <c r="U113" s="15"/>
      <c r="V113" s="164"/>
      <c r="W113" s="14"/>
      <c r="X113" s="15"/>
      <c r="Y113" s="166"/>
      <c r="Z113" s="15"/>
      <c r="AA113" s="168"/>
      <c r="AB113" s="14"/>
      <c r="AC113" s="15"/>
      <c r="AD113" s="119"/>
      <c r="AF113" s="119"/>
      <c r="AG113" s="164"/>
      <c r="AH113" s="14"/>
      <c r="AI113" s="14"/>
      <c r="AJ113" s="15"/>
      <c r="AK113" s="164"/>
      <c r="AL113" s="14"/>
      <c r="AM113" s="15"/>
      <c r="AN113" s="166"/>
      <c r="AO113" s="15"/>
      <c r="AP113" s="168"/>
      <c r="AQ113" s="14"/>
      <c r="AR113" s="15"/>
      <c r="AS113" s="119"/>
      <c r="AU113" s="119"/>
      <c r="AV113" s="164"/>
      <c r="AW113" s="14"/>
      <c r="AX113" s="14"/>
      <c r="AY113" s="15"/>
      <c r="AZ113" s="164"/>
      <c r="BA113" s="14"/>
      <c r="BB113" s="15"/>
      <c r="BC113" s="166"/>
      <c r="BD113" s="15"/>
      <c r="BE113" s="168"/>
      <c r="BF113" s="14"/>
      <c r="BG113" s="15"/>
      <c r="BH113" s="119"/>
    </row>
    <row r="114">
      <c r="B114" s="119"/>
      <c r="C114" s="164"/>
      <c r="D114" s="14"/>
      <c r="E114" s="14"/>
      <c r="F114" s="15"/>
      <c r="G114" s="164"/>
      <c r="H114" s="14"/>
      <c r="I114" s="15"/>
      <c r="J114" s="166"/>
      <c r="K114" s="15"/>
      <c r="L114" s="168"/>
      <c r="M114" s="14"/>
      <c r="N114" s="15"/>
      <c r="O114" s="119"/>
      <c r="Q114" s="119"/>
      <c r="R114" s="164"/>
      <c r="S114" s="14"/>
      <c r="T114" s="14"/>
      <c r="U114" s="15"/>
      <c r="V114" s="164"/>
      <c r="W114" s="14"/>
      <c r="X114" s="15"/>
      <c r="Y114" s="166"/>
      <c r="Z114" s="15"/>
      <c r="AA114" s="168"/>
      <c r="AB114" s="14"/>
      <c r="AC114" s="15"/>
      <c r="AD114" s="119"/>
      <c r="AF114" s="119"/>
      <c r="AG114" s="164"/>
      <c r="AH114" s="14"/>
      <c r="AI114" s="14"/>
      <c r="AJ114" s="15"/>
      <c r="AK114" s="164"/>
      <c r="AL114" s="14"/>
      <c r="AM114" s="15"/>
      <c r="AN114" s="166"/>
      <c r="AO114" s="15"/>
      <c r="AP114" s="168"/>
      <c r="AQ114" s="14"/>
      <c r="AR114" s="15"/>
      <c r="AS114" s="119"/>
      <c r="AU114" s="119"/>
      <c r="AV114" s="164"/>
      <c r="AW114" s="14"/>
      <c r="AX114" s="14"/>
      <c r="AY114" s="15"/>
      <c r="AZ114" s="164"/>
      <c r="BA114" s="14"/>
      <c r="BB114" s="15"/>
      <c r="BC114" s="166"/>
      <c r="BD114" s="15"/>
      <c r="BE114" s="168"/>
      <c r="BF114" s="14"/>
      <c r="BG114" s="15"/>
      <c r="BH114" s="119"/>
    </row>
    <row r="115">
      <c r="B115" s="119"/>
      <c r="C115" s="164"/>
      <c r="D115" s="14"/>
      <c r="E115" s="14"/>
      <c r="F115" s="15"/>
      <c r="G115" s="164"/>
      <c r="H115" s="14"/>
      <c r="I115" s="15"/>
      <c r="J115" s="166"/>
      <c r="K115" s="15"/>
      <c r="L115" s="168"/>
      <c r="M115" s="14"/>
      <c r="N115" s="15"/>
      <c r="O115" s="119"/>
      <c r="Q115" s="119"/>
      <c r="R115" s="164"/>
      <c r="S115" s="14"/>
      <c r="T115" s="14"/>
      <c r="U115" s="15"/>
      <c r="V115" s="164"/>
      <c r="W115" s="14"/>
      <c r="X115" s="15"/>
      <c r="Y115" s="166"/>
      <c r="Z115" s="15"/>
      <c r="AA115" s="168"/>
      <c r="AB115" s="14"/>
      <c r="AC115" s="15"/>
      <c r="AD115" s="119"/>
      <c r="AF115" s="119"/>
      <c r="AG115" s="164"/>
      <c r="AH115" s="14"/>
      <c r="AI115" s="14"/>
      <c r="AJ115" s="15"/>
      <c r="AK115" s="164"/>
      <c r="AL115" s="14"/>
      <c r="AM115" s="15"/>
      <c r="AN115" s="166"/>
      <c r="AO115" s="15"/>
      <c r="AP115" s="168"/>
      <c r="AQ115" s="14"/>
      <c r="AR115" s="15"/>
      <c r="AS115" s="119"/>
      <c r="AU115" s="119"/>
      <c r="AV115" s="164"/>
      <c r="AW115" s="14"/>
      <c r="AX115" s="14"/>
      <c r="AY115" s="15"/>
      <c r="AZ115" s="164"/>
      <c r="BA115" s="14"/>
      <c r="BB115" s="15"/>
      <c r="BC115" s="166"/>
      <c r="BD115" s="15"/>
      <c r="BE115" s="168"/>
      <c r="BF115" s="14"/>
      <c r="BG115" s="15"/>
      <c r="BH115" s="119"/>
    </row>
    <row r="116">
      <c r="B116" s="119"/>
      <c r="C116" s="164"/>
      <c r="D116" s="14"/>
      <c r="E116" s="14"/>
      <c r="F116" s="15"/>
      <c r="G116" s="164"/>
      <c r="H116" s="14"/>
      <c r="I116" s="15"/>
      <c r="J116" s="166"/>
      <c r="K116" s="15"/>
      <c r="L116" s="168"/>
      <c r="M116" s="14"/>
      <c r="N116" s="15"/>
      <c r="O116" s="119"/>
      <c r="Q116" s="119"/>
      <c r="R116" s="164"/>
      <c r="S116" s="14"/>
      <c r="T116" s="14"/>
      <c r="U116" s="15"/>
      <c r="V116" s="164"/>
      <c r="W116" s="14"/>
      <c r="X116" s="15"/>
      <c r="Y116" s="166"/>
      <c r="Z116" s="15"/>
      <c r="AA116" s="168"/>
      <c r="AB116" s="14"/>
      <c r="AC116" s="15"/>
      <c r="AD116" s="119"/>
      <c r="AF116" s="119"/>
      <c r="AG116" s="164"/>
      <c r="AH116" s="14"/>
      <c r="AI116" s="14"/>
      <c r="AJ116" s="15"/>
      <c r="AK116" s="164"/>
      <c r="AL116" s="14"/>
      <c r="AM116" s="15"/>
      <c r="AN116" s="166"/>
      <c r="AO116" s="15"/>
      <c r="AP116" s="168"/>
      <c r="AQ116" s="14"/>
      <c r="AR116" s="15"/>
      <c r="AS116" s="119"/>
      <c r="AU116" s="119"/>
      <c r="AV116" s="164"/>
      <c r="AW116" s="14"/>
      <c r="AX116" s="14"/>
      <c r="AY116" s="15"/>
      <c r="AZ116" s="164"/>
      <c r="BA116" s="14"/>
      <c r="BB116" s="15"/>
      <c r="BC116" s="166"/>
      <c r="BD116" s="15"/>
      <c r="BE116" s="168"/>
      <c r="BF116" s="14"/>
      <c r="BG116" s="15"/>
      <c r="BH116" s="119"/>
    </row>
    <row r="117">
      <c r="B117" s="119"/>
      <c r="C117" s="164"/>
      <c r="D117" s="14"/>
      <c r="E117" s="14"/>
      <c r="F117" s="15"/>
      <c r="G117" s="164"/>
      <c r="H117" s="14"/>
      <c r="I117" s="15"/>
      <c r="J117" s="166"/>
      <c r="K117" s="15"/>
      <c r="L117" s="168"/>
      <c r="M117" s="14"/>
      <c r="N117" s="15"/>
      <c r="O117" s="119"/>
      <c r="Q117" s="119"/>
      <c r="R117" s="164"/>
      <c r="S117" s="14"/>
      <c r="T117" s="14"/>
      <c r="U117" s="15"/>
      <c r="V117" s="164"/>
      <c r="W117" s="14"/>
      <c r="X117" s="15"/>
      <c r="Y117" s="166"/>
      <c r="Z117" s="15"/>
      <c r="AA117" s="168"/>
      <c r="AB117" s="14"/>
      <c r="AC117" s="15"/>
      <c r="AD117" s="119"/>
      <c r="AF117" s="119"/>
      <c r="AG117" s="164"/>
      <c r="AH117" s="14"/>
      <c r="AI117" s="14"/>
      <c r="AJ117" s="15"/>
      <c r="AK117" s="164"/>
      <c r="AL117" s="14"/>
      <c r="AM117" s="15"/>
      <c r="AN117" s="166"/>
      <c r="AO117" s="15"/>
      <c r="AP117" s="168"/>
      <c r="AQ117" s="14"/>
      <c r="AR117" s="15"/>
      <c r="AS117" s="119"/>
      <c r="AU117" s="119"/>
      <c r="AV117" s="164"/>
      <c r="AW117" s="14"/>
      <c r="AX117" s="14"/>
      <c r="AY117" s="15"/>
      <c r="AZ117" s="164"/>
      <c r="BA117" s="14"/>
      <c r="BB117" s="15"/>
      <c r="BC117" s="166"/>
      <c r="BD117" s="15"/>
      <c r="BE117" s="168"/>
      <c r="BF117" s="14"/>
      <c r="BG117" s="15"/>
      <c r="BH117" s="119"/>
    </row>
    <row r="118">
      <c r="B118" s="119"/>
      <c r="C118" s="164"/>
      <c r="D118" s="14"/>
      <c r="E118" s="14"/>
      <c r="F118" s="15"/>
      <c r="G118" s="164"/>
      <c r="H118" s="14"/>
      <c r="I118" s="15"/>
      <c r="J118" s="166"/>
      <c r="K118" s="15"/>
      <c r="L118" s="168"/>
      <c r="M118" s="14"/>
      <c r="N118" s="15"/>
      <c r="O118" s="119"/>
      <c r="Q118" s="119"/>
      <c r="R118" s="164"/>
      <c r="S118" s="14"/>
      <c r="T118" s="14"/>
      <c r="U118" s="15"/>
      <c r="V118" s="164"/>
      <c r="W118" s="14"/>
      <c r="X118" s="15"/>
      <c r="Y118" s="166"/>
      <c r="Z118" s="15"/>
      <c r="AA118" s="168"/>
      <c r="AB118" s="14"/>
      <c r="AC118" s="15"/>
      <c r="AD118" s="119"/>
      <c r="AF118" s="119"/>
      <c r="AG118" s="164"/>
      <c r="AH118" s="14"/>
      <c r="AI118" s="14"/>
      <c r="AJ118" s="15"/>
      <c r="AK118" s="164"/>
      <c r="AL118" s="14"/>
      <c r="AM118" s="15"/>
      <c r="AN118" s="166"/>
      <c r="AO118" s="15"/>
      <c r="AP118" s="168"/>
      <c r="AQ118" s="14"/>
      <c r="AR118" s="15"/>
      <c r="AS118" s="119"/>
      <c r="AU118" s="119"/>
      <c r="AV118" s="164"/>
      <c r="AW118" s="14"/>
      <c r="AX118" s="14"/>
      <c r="AY118" s="15"/>
      <c r="AZ118" s="164"/>
      <c r="BA118" s="14"/>
      <c r="BB118" s="15"/>
      <c r="BC118" s="166"/>
      <c r="BD118" s="15"/>
      <c r="BE118" s="168"/>
      <c r="BF118" s="14"/>
      <c r="BG118" s="15"/>
      <c r="BH118" s="119"/>
    </row>
    <row r="119">
      <c r="B119" s="119"/>
      <c r="C119" s="164"/>
      <c r="D119" s="14"/>
      <c r="E119" s="14"/>
      <c r="F119" s="15"/>
      <c r="G119" s="164"/>
      <c r="H119" s="14"/>
      <c r="I119" s="15"/>
      <c r="J119" s="166"/>
      <c r="K119" s="15"/>
      <c r="L119" s="168"/>
      <c r="M119" s="14"/>
      <c r="N119" s="15"/>
      <c r="O119" s="119"/>
      <c r="Q119" s="119"/>
      <c r="R119" s="164"/>
      <c r="S119" s="14"/>
      <c r="T119" s="14"/>
      <c r="U119" s="15"/>
      <c r="V119" s="164"/>
      <c r="W119" s="14"/>
      <c r="X119" s="15"/>
      <c r="Y119" s="166"/>
      <c r="Z119" s="15"/>
      <c r="AA119" s="168"/>
      <c r="AB119" s="14"/>
      <c r="AC119" s="15"/>
      <c r="AD119" s="119"/>
      <c r="AF119" s="119"/>
      <c r="AG119" s="164"/>
      <c r="AH119" s="14"/>
      <c r="AI119" s="14"/>
      <c r="AJ119" s="15"/>
      <c r="AK119" s="164"/>
      <c r="AL119" s="14"/>
      <c r="AM119" s="15"/>
      <c r="AN119" s="166"/>
      <c r="AO119" s="15"/>
      <c r="AP119" s="168"/>
      <c r="AQ119" s="14"/>
      <c r="AR119" s="15"/>
      <c r="AS119" s="119"/>
      <c r="AU119" s="119"/>
      <c r="AV119" s="164"/>
      <c r="AW119" s="14"/>
      <c r="AX119" s="14"/>
      <c r="AY119" s="15"/>
      <c r="AZ119" s="164"/>
      <c r="BA119" s="14"/>
      <c r="BB119" s="15"/>
      <c r="BC119" s="166"/>
      <c r="BD119" s="15"/>
      <c r="BE119" s="168"/>
      <c r="BF119" s="14"/>
      <c r="BG119" s="15"/>
      <c r="BH119" s="119"/>
    </row>
    <row r="120">
      <c r="B120" s="119"/>
      <c r="C120" s="164"/>
      <c r="D120" s="14"/>
      <c r="E120" s="14"/>
      <c r="F120" s="15"/>
      <c r="G120" s="164"/>
      <c r="H120" s="14"/>
      <c r="I120" s="15"/>
      <c r="J120" s="166"/>
      <c r="K120" s="15"/>
      <c r="L120" s="168"/>
      <c r="M120" s="14"/>
      <c r="N120" s="15"/>
      <c r="O120" s="119"/>
      <c r="Q120" s="119"/>
      <c r="R120" s="164"/>
      <c r="S120" s="14"/>
      <c r="T120" s="14"/>
      <c r="U120" s="15"/>
      <c r="V120" s="164"/>
      <c r="W120" s="14"/>
      <c r="X120" s="15"/>
      <c r="Y120" s="166"/>
      <c r="Z120" s="15"/>
      <c r="AA120" s="168"/>
      <c r="AB120" s="14"/>
      <c r="AC120" s="15"/>
      <c r="AD120" s="119"/>
      <c r="AF120" s="119"/>
      <c r="AG120" s="164"/>
      <c r="AH120" s="14"/>
      <c r="AI120" s="14"/>
      <c r="AJ120" s="15"/>
      <c r="AK120" s="164"/>
      <c r="AL120" s="14"/>
      <c r="AM120" s="15"/>
      <c r="AN120" s="166"/>
      <c r="AO120" s="15"/>
      <c r="AP120" s="168"/>
      <c r="AQ120" s="14"/>
      <c r="AR120" s="15"/>
      <c r="AS120" s="119"/>
      <c r="AU120" s="119"/>
      <c r="AV120" s="164"/>
      <c r="AW120" s="14"/>
      <c r="AX120" s="14"/>
      <c r="AY120" s="15"/>
      <c r="AZ120" s="164"/>
      <c r="BA120" s="14"/>
      <c r="BB120" s="15"/>
      <c r="BC120" s="166"/>
      <c r="BD120" s="15"/>
      <c r="BE120" s="168"/>
      <c r="BF120" s="14"/>
      <c r="BG120" s="15"/>
      <c r="BH120" s="119"/>
    </row>
    <row r="121">
      <c r="B121" s="119"/>
      <c r="C121" s="169"/>
      <c r="D121" s="14"/>
      <c r="E121" s="14"/>
      <c r="F121" s="15"/>
      <c r="G121" s="169"/>
      <c r="H121" s="14"/>
      <c r="I121" s="15"/>
      <c r="J121" s="166"/>
      <c r="K121" s="15"/>
      <c r="L121" s="168"/>
      <c r="M121" s="14"/>
      <c r="N121" s="15"/>
      <c r="O121" s="119"/>
      <c r="Q121" s="119"/>
      <c r="R121" s="169"/>
      <c r="S121" s="14"/>
      <c r="T121" s="14"/>
      <c r="U121" s="15"/>
      <c r="V121" s="169"/>
      <c r="W121" s="14"/>
      <c r="X121" s="15"/>
      <c r="Y121" s="166"/>
      <c r="Z121" s="15"/>
      <c r="AA121" s="168"/>
      <c r="AB121" s="14"/>
      <c r="AC121" s="15"/>
      <c r="AD121" s="119"/>
      <c r="AF121" s="119"/>
      <c r="AG121" s="169"/>
      <c r="AH121" s="14"/>
      <c r="AI121" s="14"/>
      <c r="AJ121" s="15"/>
      <c r="AK121" s="169"/>
      <c r="AL121" s="14"/>
      <c r="AM121" s="15"/>
      <c r="AN121" s="166"/>
      <c r="AO121" s="15"/>
      <c r="AP121" s="168"/>
      <c r="AQ121" s="14"/>
      <c r="AR121" s="15"/>
      <c r="AS121" s="119"/>
      <c r="AU121" s="119"/>
      <c r="AV121" s="169"/>
      <c r="AW121" s="14"/>
      <c r="AX121" s="14"/>
      <c r="AY121" s="15"/>
      <c r="AZ121" s="169"/>
      <c r="BA121" s="14"/>
      <c r="BB121" s="15"/>
      <c r="BC121" s="166"/>
      <c r="BD121" s="15"/>
      <c r="BE121" s="168"/>
      <c r="BF121" s="14"/>
      <c r="BG121" s="15"/>
      <c r="BH121" s="119"/>
    </row>
    <row r="122">
      <c r="B122" s="119"/>
      <c r="C122" s="169"/>
      <c r="D122" s="14"/>
      <c r="E122" s="14"/>
      <c r="F122" s="15"/>
      <c r="G122" s="169"/>
      <c r="H122" s="14"/>
      <c r="I122" s="15"/>
      <c r="J122" s="166"/>
      <c r="K122" s="15"/>
      <c r="L122" s="168"/>
      <c r="M122" s="14"/>
      <c r="N122" s="15"/>
      <c r="O122" s="119"/>
      <c r="Q122" s="119"/>
      <c r="R122" s="169"/>
      <c r="S122" s="14"/>
      <c r="T122" s="14"/>
      <c r="U122" s="15"/>
      <c r="V122" s="169"/>
      <c r="W122" s="14"/>
      <c r="X122" s="15"/>
      <c r="Y122" s="166"/>
      <c r="Z122" s="15"/>
      <c r="AA122" s="168"/>
      <c r="AB122" s="14"/>
      <c r="AC122" s="15"/>
      <c r="AD122" s="119"/>
      <c r="AF122" s="119"/>
      <c r="AG122" s="169"/>
      <c r="AH122" s="14"/>
      <c r="AI122" s="14"/>
      <c r="AJ122" s="15"/>
      <c r="AK122" s="169"/>
      <c r="AL122" s="14"/>
      <c r="AM122" s="15"/>
      <c r="AN122" s="166"/>
      <c r="AO122" s="15"/>
      <c r="AP122" s="168"/>
      <c r="AQ122" s="14"/>
      <c r="AR122" s="15"/>
      <c r="AS122" s="119"/>
      <c r="AU122" s="119"/>
      <c r="AV122" s="169"/>
      <c r="AW122" s="14"/>
      <c r="AX122" s="14"/>
      <c r="AY122" s="15"/>
      <c r="AZ122" s="169"/>
      <c r="BA122" s="14"/>
      <c r="BB122" s="15"/>
      <c r="BC122" s="166"/>
      <c r="BD122" s="15"/>
      <c r="BE122" s="168"/>
      <c r="BF122" s="14"/>
      <c r="BG122" s="15"/>
      <c r="BH122" s="119"/>
    </row>
    <row r="123">
      <c r="B123" s="3"/>
      <c r="C123" s="169"/>
      <c r="D123" s="14"/>
      <c r="E123" s="14"/>
      <c r="F123" s="15"/>
      <c r="G123" s="169"/>
      <c r="H123" s="14"/>
      <c r="I123" s="15"/>
      <c r="J123" s="166"/>
      <c r="K123" s="15"/>
      <c r="L123" s="168"/>
      <c r="M123" s="14"/>
      <c r="N123" s="15"/>
      <c r="O123" s="3"/>
      <c r="Q123" s="3"/>
      <c r="R123" s="169"/>
      <c r="S123" s="14"/>
      <c r="T123" s="14"/>
      <c r="U123" s="15"/>
      <c r="V123" s="169"/>
      <c r="W123" s="14"/>
      <c r="X123" s="15"/>
      <c r="Y123" s="166"/>
      <c r="Z123" s="15"/>
      <c r="AA123" s="168"/>
      <c r="AB123" s="14"/>
      <c r="AC123" s="15"/>
      <c r="AD123" s="3"/>
      <c r="AF123" s="3"/>
      <c r="AG123" s="169"/>
      <c r="AH123" s="14"/>
      <c r="AI123" s="14"/>
      <c r="AJ123" s="15"/>
      <c r="AK123" s="169"/>
      <c r="AL123" s="14"/>
      <c r="AM123" s="15"/>
      <c r="AN123" s="166"/>
      <c r="AO123" s="15"/>
      <c r="AP123" s="168"/>
      <c r="AQ123" s="14"/>
      <c r="AR123" s="15"/>
      <c r="AS123" s="3"/>
      <c r="AU123" s="3"/>
      <c r="AV123" s="169"/>
      <c r="AW123" s="14"/>
      <c r="AX123" s="14"/>
      <c r="AY123" s="15"/>
      <c r="AZ123" s="169"/>
      <c r="BA123" s="14"/>
      <c r="BB123" s="15"/>
      <c r="BC123" s="166"/>
      <c r="BD123" s="15"/>
      <c r="BE123" s="168"/>
      <c r="BF123" s="14"/>
      <c r="BG123" s="15"/>
      <c r="BH123" s="3"/>
    </row>
    <row r="124">
      <c r="A124" s="29"/>
    </row>
  </sheetData>
  <mergeCells count="1253">
    <mergeCell ref="AP10:AR13"/>
    <mergeCell ref="AJ14:AL14"/>
    <mergeCell ref="AM14:AO15"/>
    <mergeCell ref="AP14:AR15"/>
    <mergeCell ref="AP32:AR32"/>
    <mergeCell ref="AP43:AR43"/>
    <mergeCell ref="AV14:AX14"/>
    <mergeCell ref="AY14:BA14"/>
    <mergeCell ref="AF7:AF15"/>
    <mergeCell ref="AF16:AF43"/>
    <mergeCell ref="AG32:AJ32"/>
    <mergeCell ref="AK32:AM32"/>
    <mergeCell ref="AN32:AO32"/>
    <mergeCell ref="AG43:AJ43"/>
    <mergeCell ref="AK43:AM43"/>
    <mergeCell ref="AN43:AO43"/>
    <mergeCell ref="C19:F19"/>
    <mergeCell ref="G19:J19"/>
    <mergeCell ref="J43:K43"/>
    <mergeCell ref="L43:N43"/>
    <mergeCell ref="R43:U43"/>
    <mergeCell ref="V43:X43"/>
    <mergeCell ref="Y43:Z43"/>
    <mergeCell ref="AA43:AC43"/>
    <mergeCell ref="K19:N19"/>
    <mergeCell ref="R19:U19"/>
    <mergeCell ref="AZ31:BB31"/>
    <mergeCell ref="AZ42:BB42"/>
    <mergeCell ref="BC42:BD42"/>
    <mergeCell ref="BE42:BG42"/>
    <mergeCell ref="AV43:AY43"/>
    <mergeCell ref="AZ43:BB43"/>
    <mergeCell ref="BC43:BD43"/>
    <mergeCell ref="BE43:BG43"/>
    <mergeCell ref="BB14:BD15"/>
    <mergeCell ref="BE14:BG15"/>
    <mergeCell ref="AV30:BG30"/>
    <mergeCell ref="BC31:BD31"/>
    <mergeCell ref="BE31:BG31"/>
    <mergeCell ref="AV32:AY32"/>
    <mergeCell ref="BE32:BG32"/>
    <mergeCell ref="AV31:AY31"/>
    <mergeCell ref="C32:F32"/>
    <mergeCell ref="G32:I32"/>
    <mergeCell ref="J32:K32"/>
    <mergeCell ref="L32:N32"/>
    <mergeCell ref="R32:U32"/>
    <mergeCell ref="V32:X32"/>
    <mergeCell ref="AV15:BA15"/>
    <mergeCell ref="B16:B43"/>
    <mergeCell ref="C16:N16"/>
    <mergeCell ref="O16:O43"/>
    <mergeCell ref="Q16:Q43"/>
    <mergeCell ref="R16:AC16"/>
    <mergeCell ref="AD16:AD43"/>
    <mergeCell ref="G42:I42"/>
    <mergeCell ref="J42:K42"/>
    <mergeCell ref="L42:N42"/>
    <mergeCell ref="R42:U42"/>
    <mergeCell ref="V42:X42"/>
    <mergeCell ref="Y42:Z42"/>
    <mergeCell ref="AA42:AC42"/>
    <mergeCell ref="AG42:AJ42"/>
    <mergeCell ref="AK42:AM42"/>
    <mergeCell ref="AN42:AO42"/>
    <mergeCell ref="AP42:AR42"/>
    <mergeCell ref="AV42:AY42"/>
    <mergeCell ref="C43:F43"/>
    <mergeCell ref="G43:I43"/>
    <mergeCell ref="F10:H13"/>
    <mergeCell ref="I10:K13"/>
    <mergeCell ref="L10:N13"/>
    <mergeCell ref="R10:T13"/>
    <mergeCell ref="U10:W13"/>
    <mergeCell ref="X10:Z13"/>
    <mergeCell ref="AG10:AI13"/>
    <mergeCell ref="AJ10:AL13"/>
    <mergeCell ref="AA10:AC13"/>
    <mergeCell ref="AM10:AO13"/>
    <mergeCell ref="AV10:AX13"/>
    <mergeCell ref="AY10:BA13"/>
    <mergeCell ref="BB10:BD13"/>
    <mergeCell ref="BE10:BG13"/>
    <mergeCell ref="AA14:AC15"/>
    <mergeCell ref="AG14:AI14"/>
    <mergeCell ref="AV9:BG9"/>
    <mergeCell ref="C10:E13"/>
    <mergeCell ref="C14:E14"/>
    <mergeCell ref="F14:H14"/>
    <mergeCell ref="I14:K15"/>
    <mergeCell ref="L14:N15"/>
    <mergeCell ref="X14:Z15"/>
    <mergeCell ref="R17:U17"/>
    <mergeCell ref="V17:Y17"/>
    <mergeCell ref="R14:T14"/>
    <mergeCell ref="U14:W14"/>
    <mergeCell ref="AG16:AR16"/>
    <mergeCell ref="AV16:BG16"/>
    <mergeCell ref="C17:F17"/>
    <mergeCell ref="G17:J17"/>
    <mergeCell ref="K17:N17"/>
    <mergeCell ref="Z17:AC17"/>
    <mergeCell ref="AG17:AJ17"/>
    <mergeCell ref="AK17:AN17"/>
    <mergeCell ref="AO17:AR17"/>
    <mergeCell ref="AV17:AY17"/>
    <mergeCell ref="AZ17:BC17"/>
    <mergeCell ref="AG18:AJ18"/>
    <mergeCell ref="AK18:AN18"/>
    <mergeCell ref="AO18:AR18"/>
    <mergeCell ref="AV18:AY18"/>
    <mergeCell ref="BD17:BG17"/>
    <mergeCell ref="C18:F18"/>
    <mergeCell ref="G18:J18"/>
    <mergeCell ref="K18:N18"/>
    <mergeCell ref="R18:U18"/>
    <mergeCell ref="V18:Y18"/>
    <mergeCell ref="Z18:AC18"/>
    <mergeCell ref="AZ18:BC18"/>
    <mergeCell ref="BD18:BG18"/>
    <mergeCell ref="K20:N20"/>
    <mergeCell ref="R20:U20"/>
    <mergeCell ref="V19:Y19"/>
    <mergeCell ref="Z19:AC19"/>
    <mergeCell ref="AG19:AJ19"/>
    <mergeCell ref="AK19:AN19"/>
    <mergeCell ref="AO19:AR19"/>
    <mergeCell ref="C20:F20"/>
    <mergeCell ref="G20:J20"/>
    <mergeCell ref="C15:H15"/>
    <mergeCell ref="R15:W15"/>
    <mergeCell ref="C30:N30"/>
    <mergeCell ref="R30:AC30"/>
    <mergeCell ref="Y31:Z31"/>
    <mergeCell ref="AA31:AC31"/>
    <mergeCell ref="AG31:AJ31"/>
    <mergeCell ref="AK31:AM31"/>
    <mergeCell ref="AN31:AO31"/>
    <mergeCell ref="AP31:AR31"/>
    <mergeCell ref="AG30:AR30"/>
    <mergeCell ref="C31:F31"/>
    <mergeCell ref="G31:I31"/>
    <mergeCell ref="J31:K31"/>
    <mergeCell ref="L31:N31"/>
    <mergeCell ref="R31:U31"/>
    <mergeCell ref="V31:X31"/>
    <mergeCell ref="Y32:Z32"/>
    <mergeCell ref="AA32:AC32"/>
    <mergeCell ref="V33:X33"/>
    <mergeCell ref="Y33:Z33"/>
    <mergeCell ref="AZ32:BB32"/>
    <mergeCell ref="BC32:BD32"/>
    <mergeCell ref="C33:F33"/>
    <mergeCell ref="G33:I33"/>
    <mergeCell ref="J33:K33"/>
    <mergeCell ref="L33:N33"/>
    <mergeCell ref="R33:U33"/>
    <mergeCell ref="AZ21:BC21"/>
    <mergeCell ref="BD21:BG21"/>
    <mergeCell ref="AV23:AY23"/>
    <mergeCell ref="AZ23:BC23"/>
    <mergeCell ref="AV25:BA25"/>
    <mergeCell ref="BB25:BG25"/>
    <mergeCell ref="AV26:BA26"/>
    <mergeCell ref="BB26:BG26"/>
    <mergeCell ref="AV27:BA27"/>
    <mergeCell ref="BB27:BG27"/>
    <mergeCell ref="AV28:BA28"/>
    <mergeCell ref="BB28:BG28"/>
    <mergeCell ref="AV29:BA29"/>
    <mergeCell ref="BB29:BG29"/>
    <mergeCell ref="AG29:AL29"/>
    <mergeCell ref="AM29:AR29"/>
    <mergeCell ref="AG33:AJ33"/>
    <mergeCell ref="AK33:AM33"/>
    <mergeCell ref="AA33:AC33"/>
    <mergeCell ref="AN33:AO33"/>
    <mergeCell ref="AV33:AY33"/>
    <mergeCell ref="AZ33:BB33"/>
    <mergeCell ref="BC33:BD33"/>
    <mergeCell ref="BE33:BG33"/>
    <mergeCell ref="C34:F34"/>
    <mergeCell ref="G34:I34"/>
    <mergeCell ref="J34:K34"/>
    <mergeCell ref="L34:N34"/>
    <mergeCell ref="R34:U34"/>
    <mergeCell ref="V34:X34"/>
    <mergeCell ref="Y34:Z34"/>
    <mergeCell ref="AA34:AC34"/>
    <mergeCell ref="AP33:AR33"/>
    <mergeCell ref="AG34:AJ34"/>
    <mergeCell ref="AP34:AR34"/>
    <mergeCell ref="AK34:AM34"/>
    <mergeCell ref="AN34:AO34"/>
    <mergeCell ref="AV34:AY34"/>
    <mergeCell ref="AZ34:BB34"/>
    <mergeCell ref="BC34:BD34"/>
    <mergeCell ref="BE34:BG34"/>
    <mergeCell ref="C35:F35"/>
    <mergeCell ref="G35:I35"/>
    <mergeCell ref="J35:K35"/>
    <mergeCell ref="L35:N35"/>
    <mergeCell ref="R35:U35"/>
    <mergeCell ref="V35:X35"/>
    <mergeCell ref="Y35:Z35"/>
    <mergeCell ref="AA35:AC35"/>
    <mergeCell ref="AG35:AJ35"/>
    <mergeCell ref="AK35:AM35"/>
    <mergeCell ref="AN35:AO35"/>
    <mergeCell ref="AP35:AR35"/>
    <mergeCell ref="AV35:AY35"/>
    <mergeCell ref="AZ35:BB35"/>
    <mergeCell ref="BC35:BD35"/>
    <mergeCell ref="BE35:BG35"/>
    <mergeCell ref="C36:F36"/>
    <mergeCell ref="G36:I36"/>
    <mergeCell ref="J36:K36"/>
    <mergeCell ref="L36:N36"/>
    <mergeCell ref="R36:U36"/>
    <mergeCell ref="V36:X36"/>
    <mergeCell ref="Y36:Z36"/>
    <mergeCell ref="AA36:AC36"/>
    <mergeCell ref="AG36:AJ36"/>
    <mergeCell ref="AK36:AM36"/>
    <mergeCell ref="AN36:AO36"/>
    <mergeCell ref="AP36:AR36"/>
    <mergeCell ref="AV36:AY36"/>
    <mergeCell ref="AZ36:BB36"/>
    <mergeCell ref="BC36:BD36"/>
    <mergeCell ref="BE36:BG36"/>
    <mergeCell ref="C37:F37"/>
    <mergeCell ref="G37:I37"/>
    <mergeCell ref="J37:K37"/>
    <mergeCell ref="L37:N37"/>
    <mergeCell ref="R37:U37"/>
    <mergeCell ref="V37:X37"/>
    <mergeCell ref="Y37:Z37"/>
    <mergeCell ref="AA37:AC37"/>
    <mergeCell ref="AG37:AJ37"/>
    <mergeCell ref="AK37:AM37"/>
    <mergeCell ref="AN37:AO37"/>
    <mergeCell ref="AP37:AR37"/>
    <mergeCell ref="AV37:AY37"/>
    <mergeCell ref="AZ37:BB37"/>
    <mergeCell ref="BC37:BD37"/>
    <mergeCell ref="BE37:BG37"/>
    <mergeCell ref="C38:F38"/>
    <mergeCell ref="G38:I38"/>
    <mergeCell ref="J38:K38"/>
    <mergeCell ref="L38:N38"/>
    <mergeCell ref="R38:U38"/>
    <mergeCell ref="V38:X38"/>
    <mergeCell ref="Y38:Z38"/>
    <mergeCell ref="AA38:AC38"/>
    <mergeCell ref="AG38:AJ38"/>
    <mergeCell ref="AK38:AM38"/>
    <mergeCell ref="V20:Y20"/>
    <mergeCell ref="Z20:AC20"/>
    <mergeCell ref="AG20:AJ20"/>
    <mergeCell ref="AK20:AN20"/>
    <mergeCell ref="AO20:AR20"/>
    <mergeCell ref="AV20:AY20"/>
    <mergeCell ref="AZ20:BC20"/>
    <mergeCell ref="BD20:BG20"/>
    <mergeCell ref="C21:F21"/>
    <mergeCell ref="G21:J21"/>
    <mergeCell ref="K21:N21"/>
    <mergeCell ref="R21:U21"/>
    <mergeCell ref="V21:Y21"/>
    <mergeCell ref="Z21:AC21"/>
    <mergeCell ref="C22:F22"/>
    <mergeCell ref="G22:J22"/>
    <mergeCell ref="K22:N22"/>
    <mergeCell ref="R22:U22"/>
    <mergeCell ref="V22:Y22"/>
    <mergeCell ref="Z22:AC22"/>
    <mergeCell ref="AG22:AJ22"/>
    <mergeCell ref="AK22:AN22"/>
    <mergeCell ref="AO22:AR22"/>
    <mergeCell ref="AV22:AY22"/>
    <mergeCell ref="AZ22:BC22"/>
    <mergeCell ref="BD22:BG22"/>
    <mergeCell ref="C23:F23"/>
    <mergeCell ref="G23:J23"/>
    <mergeCell ref="AG23:AJ23"/>
    <mergeCell ref="AK23:AN23"/>
    <mergeCell ref="AG21:AJ21"/>
    <mergeCell ref="AK21:AN21"/>
    <mergeCell ref="AO21:AR21"/>
    <mergeCell ref="R23:U23"/>
    <mergeCell ref="V23:Y23"/>
    <mergeCell ref="Z23:AC23"/>
    <mergeCell ref="AO23:AR23"/>
    <mergeCell ref="R24:AC24"/>
    <mergeCell ref="C25:H25"/>
    <mergeCell ref="I25:N25"/>
    <mergeCell ref="R25:W25"/>
    <mergeCell ref="X25:AC25"/>
    <mergeCell ref="AG24:AR24"/>
    <mergeCell ref="AG25:AL25"/>
    <mergeCell ref="AM25:AR25"/>
    <mergeCell ref="C26:H26"/>
    <mergeCell ref="I26:N26"/>
    <mergeCell ref="R26:W26"/>
    <mergeCell ref="X26:AC26"/>
    <mergeCell ref="AG26:AL26"/>
    <mergeCell ref="AM26:AR26"/>
    <mergeCell ref="C27:H27"/>
    <mergeCell ref="I27:N27"/>
    <mergeCell ref="R27:W27"/>
    <mergeCell ref="X27:AC27"/>
    <mergeCell ref="AG27:AL27"/>
    <mergeCell ref="AM27:AR27"/>
    <mergeCell ref="BD23:BG23"/>
    <mergeCell ref="AV24:BG24"/>
    <mergeCell ref="AV40:AY40"/>
    <mergeCell ref="AZ40:BB40"/>
    <mergeCell ref="BC40:BD40"/>
    <mergeCell ref="BE40:BG40"/>
    <mergeCell ref="AV41:AY41"/>
    <mergeCell ref="AZ41:BB41"/>
    <mergeCell ref="BC41:BD41"/>
    <mergeCell ref="BE41:BG41"/>
    <mergeCell ref="AS16:AS43"/>
    <mergeCell ref="AU16:AU43"/>
    <mergeCell ref="BH16:BH43"/>
    <mergeCell ref="AV19:AY19"/>
    <mergeCell ref="AZ19:BC19"/>
    <mergeCell ref="BD19:BG19"/>
    <mergeCell ref="AV21:AY21"/>
    <mergeCell ref="J40:K40"/>
    <mergeCell ref="L40:N40"/>
    <mergeCell ref="AG40:AJ40"/>
    <mergeCell ref="AK40:AM40"/>
    <mergeCell ref="AN40:AO40"/>
    <mergeCell ref="AP40:AR40"/>
    <mergeCell ref="AP39:AR39"/>
    <mergeCell ref="AV39:AY39"/>
    <mergeCell ref="AZ39:BB39"/>
    <mergeCell ref="BC39:BD39"/>
    <mergeCell ref="BE39:BG39"/>
    <mergeCell ref="C40:F40"/>
    <mergeCell ref="G40:I40"/>
    <mergeCell ref="C41:F41"/>
    <mergeCell ref="C42:F42"/>
    <mergeCell ref="K23:N23"/>
    <mergeCell ref="C24:N24"/>
    <mergeCell ref="C28:H28"/>
    <mergeCell ref="I28:N28"/>
    <mergeCell ref="C29:H29"/>
    <mergeCell ref="I29:N29"/>
    <mergeCell ref="L41:N41"/>
    <mergeCell ref="R29:W29"/>
    <mergeCell ref="X29:AC29"/>
    <mergeCell ref="R40:U40"/>
    <mergeCell ref="V40:X40"/>
    <mergeCell ref="Y40:Z40"/>
    <mergeCell ref="AA40:AC40"/>
    <mergeCell ref="R41:U41"/>
    <mergeCell ref="V41:X41"/>
    <mergeCell ref="Y41:Z41"/>
    <mergeCell ref="AA41:AC41"/>
    <mergeCell ref="Q5:AD6"/>
    <mergeCell ref="AE5:AE43"/>
    <mergeCell ref="Q7:Q15"/>
    <mergeCell ref="R7:AC7"/>
    <mergeCell ref="AD7:AD15"/>
    <mergeCell ref="R8:AC8"/>
    <mergeCell ref="R9:AC9"/>
    <mergeCell ref="R121:U121"/>
    <mergeCell ref="V121:X121"/>
    <mergeCell ref="Y121:Z121"/>
    <mergeCell ref="AA121:AC121"/>
    <mergeCell ref="AG121:AJ121"/>
    <mergeCell ref="AK121:AM121"/>
    <mergeCell ref="AN121:AO121"/>
    <mergeCell ref="AP121:AR121"/>
    <mergeCell ref="AV121:AY121"/>
    <mergeCell ref="AZ121:BB121"/>
    <mergeCell ref="BC121:BD121"/>
    <mergeCell ref="BE121:BG121"/>
    <mergeCell ref="AV120:AY120"/>
    <mergeCell ref="AZ120:BB120"/>
    <mergeCell ref="BC120:BD120"/>
    <mergeCell ref="BE120:BG120"/>
    <mergeCell ref="G121:I121"/>
    <mergeCell ref="J121:K121"/>
    <mergeCell ref="L121:N121"/>
    <mergeCell ref="AG122:AJ122"/>
    <mergeCell ref="AK122:AM122"/>
    <mergeCell ref="AV122:AY122"/>
    <mergeCell ref="AZ122:BB122"/>
    <mergeCell ref="BC122:BD122"/>
    <mergeCell ref="BE122:BG122"/>
    <mergeCell ref="G122:I122"/>
    <mergeCell ref="J122:K122"/>
    <mergeCell ref="L122:N122"/>
    <mergeCell ref="R122:U122"/>
    <mergeCell ref="V122:X122"/>
    <mergeCell ref="Y122:Z122"/>
    <mergeCell ref="AA122:AC122"/>
    <mergeCell ref="Y123:Z123"/>
    <mergeCell ref="AA123:AC123"/>
    <mergeCell ref="AG123:AJ123"/>
    <mergeCell ref="AK123:AM123"/>
    <mergeCell ref="AN123:AO123"/>
    <mergeCell ref="AP123:AR123"/>
    <mergeCell ref="AV123:AY123"/>
    <mergeCell ref="AZ123:BB123"/>
    <mergeCell ref="BC123:BD123"/>
    <mergeCell ref="BE123:BG123"/>
    <mergeCell ref="AN122:AO122"/>
    <mergeCell ref="AP122:AR122"/>
    <mergeCell ref="G123:I123"/>
    <mergeCell ref="J123:K123"/>
    <mergeCell ref="L123:N123"/>
    <mergeCell ref="R123:U123"/>
    <mergeCell ref="V123:X123"/>
    <mergeCell ref="C7:N7"/>
    <mergeCell ref="C8:N8"/>
    <mergeCell ref="B5:O6"/>
    <mergeCell ref="C9:N9"/>
    <mergeCell ref="R28:W28"/>
    <mergeCell ref="X28:AC28"/>
    <mergeCell ref="AG28:AL28"/>
    <mergeCell ref="AM28:AR28"/>
    <mergeCell ref="AG39:AJ39"/>
    <mergeCell ref="AK39:AM39"/>
    <mergeCell ref="AN39:AO39"/>
    <mergeCell ref="G41:I41"/>
    <mergeCell ref="J41:K41"/>
    <mergeCell ref="AG41:AJ41"/>
    <mergeCell ref="AK41:AM41"/>
    <mergeCell ref="AN41:AO41"/>
    <mergeCell ref="AP41:AR41"/>
    <mergeCell ref="P5:P43"/>
    <mergeCell ref="O7:O15"/>
    <mergeCell ref="K59:N59"/>
    <mergeCell ref="R59:U59"/>
    <mergeCell ref="V59:Y59"/>
    <mergeCell ref="Z59:AC59"/>
    <mergeCell ref="AG59:AJ59"/>
    <mergeCell ref="A2:A123"/>
    <mergeCell ref="B7:B15"/>
    <mergeCell ref="C61:F61"/>
    <mergeCell ref="C62:F62"/>
    <mergeCell ref="C63:F63"/>
    <mergeCell ref="C121:F121"/>
    <mergeCell ref="C122:F122"/>
    <mergeCell ref="C123:F123"/>
    <mergeCell ref="R66:W66"/>
    <mergeCell ref="R67:W67"/>
    <mergeCell ref="AA120:AC120"/>
    <mergeCell ref="AG120:AJ120"/>
    <mergeCell ref="AK120:AM120"/>
    <mergeCell ref="AN120:AO120"/>
    <mergeCell ref="AP120:AR120"/>
    <mergeCell ref="K60:N60"/>
    <mergeCell ref="R60:U60"/>
    <mergeCell ref="V60:Y60"/>
    <mergeCell ref="Z60:AC60"/>
    <mergeCell ref="AG60:AJ60"/>
    <mergeCell ref="AK60:AN60"/>
    <mergeCell ref="AV59:AY59"/>
    <mergeCell ref="AV60:AY60"/>
    <mergeCell ref="AZ60:BC60"/>
    <mergeCell ref="BD60:BG60"/>
    <mergeCell ref="AK59:AN59"/>
    <mergeCell ref="AO59:AR59"/>
    <mergeCell ref="AZ59:BC59"/>
    <mergeCell ref="BD59:BG59"/>
    <mergeCell ref="C60:F60"/>
    <mergeCell ref="G60:J60"/>
    <mergeCell ref="AO60:AR60"/>
    <mergeCell ref="AO61:AR61"/>
    <mergeCell ref="AV61:AY61"/>
    <mergeCell ref="G61:J61"/>
    <mergeCell ref="K61:N61"/>
    <mergeCell ref="R61:U61"/>
    <mergeCell ref="V61:Y61"/>
    <mergeCell ref="Z61:AC61"/>
    <mergeCell ref="AG61:AJ61"/>
    <mergeCell ref="AK61:AN61"/>
    <mergeCell ref="AO62:AR62"/>
    <mergeCell ref="AV62:AY62"/>
    <mergeCell ref="G62:J62"/>
    <mergeCell ref="K62:N62"/>
    <mergeCell ref="R62:U62"/>
    <mergeCell ref="V62:Y62"/>
    <mergeCell ref="Z62:AC62"/>
    <mergeCell ref="AG62:AJ62"/>
    <mergeCell ref="AK62:AN62"/>
    <mergeCell ref="AO63:AR63"/>
    <mergeCell ref="AV63:AY63"/>
    <mergeCell ref="G63:J63"/>
    <mergeCell ref="K63:N63"/>
    <mergeCell ref="R63:U63"/>
    <mergeCell ref="V63:Y63"/>
    <mergeCell ref="Z63:AC63"/>
    <mergeCell ref="AG63:AJ63"/>
    <mergeCell ref="AK63:AN63"/>
    <mergeCell ref="BD63:BG63"/>
    <mergeCell ref="AV64:BG64"/>
    <mergeCell ref="AV65:BA65"/>
    <mergeCell ref="BB65:BG65"/>
    <mergeCell ref="AV66:BA66"/>
    <mergeCell ref="BB66:BG66"/>
    <mergeCell ref="AU5:BH6"/>
    <mergeCell ref="AV7:BG7"/>
    <mergeCell ref="AZ61:BC61"/>
    <mergeCell ref="BD61:BG61"/>
    <mergeCell ref="AZ62:BC62"/>
    <mergeCell ref="BD62:BG62"/>
    <mergeCell ref="AZ63:BC63"/>
    <mergeCell ref="AG65:AL65"/>
    <mergeCell ref="AM65:AR65"/>
    <mergeCell ref="C64:N64"/>
    <mergeCell ref="R64:AC64"/>
    <mergeCell ref="AG64:AR64"/>
    <mergeCell ref="C65:H65"/>
    <mergeCell ref="I65:N65"/>
    <mergeCell ref="R65:W65"/>
    <mergeCell ref="X65:AC65"/>
    <mergeCell ref="AG66:AL66"/>
    <mergeCell ref="AG67:AL67"/>
    <mergeCell ref="C66:H66"/>
    <mergeCell ref="I66:N66"/>
    <mergeCell ref="X66:AC66"/>
    <mergeCell ref="AM66:AR66"/>
    <mergeCell ref="C67:H67"/>
    <mergeCell ref="I67:N67"/>
    <mergeCell ref="X67:AC67"/>
    <mergeCell ref="AP50:AR53"/>
    <mergeCell ref="AJ54:AL54"/>
    <mergeCell ref="AV54:AX54"/>
    <mergeCell ref="AY54:BA54"/>
    <mergeCell ref="AV57:AY57"/>
    <mergeCell ref="AZ57:BC57"/>
    <mergeCell ref="AV69:BA69"/>
    <mergeCell ref="BB69:BG69"/>
    <mergeCell ref="AV70:BG70"/>
    <mergeCell ref="BB54:BD55"/>
    <mergeCell ref="BE54:BG55"/>
    <mergeCell ref="BD57:BG57"/>
    <mergeCell ref="AG55:AL55"/>
    <mergeCell ref="AV55:BA55"/>
    <mergeCell ref="O47:O55"/>
    <mergeCell ref="O56:O83"/>
    <mergeCell ref="Z58:AC58"/>
    <mergeCell ref="AG58:AJ58"/>
    <mergeCell ref="AK58:AN58"/>
    <mergeCell ref="AO58:AR58"/>
    <mergeCell ref="AV58:AY58"/>
    <mergeCell ref="AZ58:BC58"/>
    <mergeCell ref="BD58:BG58"/>
    <mergeCell ref="AK74:AM74"/>
    <mergeCell ref="AN74:AO74"/>
    <mergeCell ref="AP74:AR74"/>
    <mergeCell ref="AV74:AY74"/>
    <mergeCell ref="AZ74:BB74"/>
    <mergeCell ref="BC74:BD74"/>
    <mergeCell ref="BE74:BG74"/>
    <mergeCell ref="AF5:AS6"/>
    <mergeCell ref="AT5:AT43"/>
    <mergeCell ref="AG7:AR7"/>
    <mergeCell ref="AS7:AS15"/>
    <mergeCell ref="AG8:AR8"/>
    <mergeCell ref="AG9:AR9"/>
    <mergeCell ref="AG15:AL15"/>
    <mergeCell ref="B44:BH44"/>
    <mergeCell ref="B45:O46"/>
    <mergeCell ref="Q45:AD46"/>
    <mergeCell ref="AF45:AS46"/>
    <mergeCell ref="AU45:BH46"/>
    <mergeCell ref="R54:T54"/>
    <mergeCell ref="U54:W54"/>
    <mergeCell ref="R68:W68"/>
    <mergeCell ref="X68:AC68"/>
    <mergeCell ref="R69:W69"/>
    <mergeCell ref="X69:AC69"/>
    <mergeCell ref="AA54:AC55"/>
    <mergeCell ref="AG54:AI54"/>
    <mergeCell ref="AE45:AE83"/>
    <mergeCell ref="AF56:AF83"/>
    <mergeCell ref="AG69:AL69"/>
    <mergeCell ref="AM69:AR69"/>
    <mergeCell ref="AP71:AR71"/>
    <mergeCell ref="AV71:AY71"/>
    <mergeCell ref="AZ71:BB71"/>
    <mergeCell ref="BC71:BD71"/>
    <mergeCell ref="BE71:BG71"/>
    <mergeCell ref="L72:N72"/>
    <mergeCell ref="R72:U72"/>
    <mergeCell ref="C73:F73"/>
    <mergeCell ref="G73:I73"/>
    <mergeCell ref="J73:K73"/>
    <mergeCell ref="L73:N73"/>
    <mergeCell ref="Y73:Z73"/>
    <mergeCell ref="AT45:AT83"/>
    <mergeCell ref="C47:N47"/>
    <mergeCell ref="AF47:AF55"/>
    <mergeCell ref="AS47:AS55"/>
    <mergeCell ref="C48:N48"/>
    <mergeCell ref="AG49:AR49"/>
    <mergeCell ref="AS56:AS83"/>
    <mergeCell ref="BC119:BD119"/>
    <mergeCell ref="BE119:BG119"/>
    <mergeCell ref="A1:BI1"/>
    <mergeCell ref="B2:BH3"/>
    <mergeCell ref="BI2:BI123"/>
    <mergeCell ref="B4:BH4"/>
    <mergeCell ref="BH7:BH15"/>
    <mergeCell ref="AV8:BG8"/>
    <mergeCell ref="BH56:BH83"/>
    <mergeCell ref="A124:BI124"/>
    <mergeCell ref="AV112:AY112"/>
    <mergeCell ref="AZ112:BB112"/>
    <mergeCell ref="BC112:BD112"/>
    <mergeCell ref="BE112:BG112"/>
    <mergeCell ref="C113:F113"/>
    <mergeCell ref="G113:I113"/>
    <mergeCell ref="J113:K113"/>
    <mergeCell ref="L113:N113"/>
    <mergeCell ref="R113:U113"/>
    <mergeCell ref="V113:X113"/>
    <mergeCell ref="Y113:Z113"/>
    <mergeCell ref="AA113:AC113"/>
    <mergeCell ref="AG113:AJ113"/>
    <mergeCell ref="AK113:AM113"/>
    <mergeCell ref="C101:F101"/>
    <mergeCell ref="C103:F103"/>
    <mergeCell ref="C104:N104"/>
    <mergeCell ref="C105:H105"/>
    <mergeCell ref="I105:N105"/>
    <mergeCell ref="C106:H106"/>
    <mergeCell ref="I106:N106"/>
    <mergeCell ref="C107:H107"/>
    <mergeCell ref="I107:N107"/>
    <mergeCell ref="C108:H108"/>
    <mergeCell ref="I108:N108"/>
    <mergeCell ref="C109:H109"/>
    <mergeCell ref="I109:N109"/>
    <mergeCell ref="C112:F112"/>
    <mergeCell ref="G112:I112"/>
    <mergeCell ref="J114:K114"/>
    <mergeCell ref="L114:N114"/>
    <mergeCell ref="R114:U114"/>
    <mergeCell ref="V114:X114"/>
    <mergeCell ref="Y114:Z114"/>
    <mergeCell ref="AA114:AC114"/>
    <mergeCell ref="AG114:AJ114"/>
    <mergeCell ref="AK114:AM114"/>
    <mergeCell ref="AN114:AO114"/>
    <mergeCell ref="AP114:AR114"/>
    <mergeCell ref="AV114:AY114"/>
    <mergeCell ref="AZ114:BB114"/>
    <mergeCell ref="AN111:AO111"/>
    <mergeCell ref="AN113:AO113"/>
    <mergeCell ref="AP113:AR113"/>
    <mergeCell ref="AV113:AY113"/>
    <mergeCell ref="AZ113:BB113"/>
    <mergeCell ref="C114:F114"/>
    <mergeCell ref="G114:I114"/>
    <mergeCell ref="AA115:AC115"/>
    <mergeCell ref="AG115:AJ115"/>
    <mergeCell ref="C115:F115"/>
    <mergeCell ref="G115:I115"/>
    <mergeCell ref="J115:K115"/>
    <mergeCell ref="L115:N115"/>
    <mergeCell ref="R115:U115"/>
    <mergeCell ref="V115:X115"/>
    <mergeCell ref="Y115:Z115"/>
    <mergeCell ref="J116:K116"/>
    <mergeCell ref="L116:N116"/>
    <mergeCell ref="R116:U116"/>
    <mergeCell ref="V116:X116"/>
    <mergeCell ref="Y116:Z116"/>
    <mergeCell ref="AA116:AC116"/>
    <mergeCell ref="AG116:AJ116"/>
    <mergeCell ref="AK116:AM116"/>
    <mergeCell ref="AN116:AO116"/>
    <mergeCell ref="AP116:AR116"/>
    <mergeCell ref="AV116:AY116"/>
    <mergeCell ref="AZ116:BB116"/>
    <mergeCell ref="AK115:AM115"/>
    <mergeCell ref="AN115:AO115"/>
    <mergeCell ref="AP115:AR115"/>
    <mergeCell ref="AV115:AY115"/>
    <mergeCell ref="AZ115:BB115"/>
    <mergeCell ref="C116:F116"/>
    <mergeCell ref="G116:I116"/>
    <mergeCell ref="AV117:AY117"/>
    <mergeCell ref="AZ117:BB117"/>
    <mergeCell ref="V117:X117"/>
    <mergeCell ref="Y117:Z117"/>
    <mergeCell ref="AA117:AC117"/>
    <mergeCell ref="AG117:AJ117"/>
    <mergeCell ref="AK117:AM117"/>
    <mergeCell ref="AN117:AO117"/>
    <mergeCell ref="AP117:AR117"/>
    <mergeCell ref="AN118:AO118"/>
    <mergeCell ref="AP118:AR118"/>
    <mergeCell ref="AV118:AY118"/>
    <mergeCell ref="AZ118:BB118"/>
    <mergeCell ref="J118:K118"/>
    <mergeCell ref="L118:N118"/>
    <mergeCell ref="V118:X118"/>
    <mergeCell ref="Y118:Z118"/>
    <mergeCell ref="AA118:AC118"/>
    <mergeCell ref="AG118:AJ118"/>
    <mergeCell ref="AK118:AM118"/>
    <mergeCell ref="AV119:AY119"/>
    <mergeCell ref="AZ119:BB119"/>
    <mergeCell ref="V119:X119"/>
    <mergeCell ref="Y119:Z119"/>
    <mergeCell ref="AA119:AC119"/>
    <mergeCell ref="AG119:AJ119"/>
    <mergeCell ref="AK119:AM119"/>
    <mergeCell ref="AN119:AO119"/>
    <mergeCell ref="AP119:AR119"/>
    <mergeCell ref="AV68:BA68"/>
    <mergeCell ref="BB68:BG68"/>
    <mergeCell ref="AG47:AR47"/>
    <mergeCell ref="AG48:AR48"/>
    <mergeCell ref="AM67:AR67"/>
    <mergeCell ref="AV67:BA67"/>
    <mergeCell ref="BB67:BG67"/>
    <mergeCell ref="AG68:AL68"/>
    <mergeCell ref="AM68:AR68"/>
    <mergeCell ref="AA71:AC71"/>
    <mergeCell ref="AG71:AJ71"/>
    <mergeCell ref="AM54:AO55"/>
    <mergeCell ref="AP54:AR55"/>
    <mergeCell ref="R70:AC70"/>
    <mergeCell ref="AG70:AR70"/>
    <mergeCell ref="R71:U71"/>
    <mergeCell ref="V71:X71"/>
    <mergeCell ref="Y71:Z71"/>
    <mergeCell ref="B47:B55"/>
    <mergeCell ref="C50:E53"/>
    <mergeCell ref="C68:H68"/>
    <mergeCell ref="I68:N68"/>
    <mergeCell ref="C69:H69"/>
    <mergeCell ref="I69:N69"/>
    <mergeCell ref="C70:N70"/>
    <mergeCell ref="C71:F71"/>
    <mergeCell ref="G71:I71"/>
    <mergeCell ref="J71:K71"/>
    <mergeCell ref="L71:N71"/>
    <mergeCell ref="C72:F72"/>
    <mergeCell ref="G72:I72"/>
    <mergeCell ref="J72:K72"/>
    <mergeCell ref="AN72:AO72"/>
    <mergeCell ref="AP72:AR72"/>
    <mergeCell ref="AV72:AY72"/>
    <mergeCell ref="AZ72:BB72"/>
    <mergeCell ref="BC72:BD72"/>
    <mergeCell ref="BE72:BG72"/>
    <mergeCell ref="AK71:AM71"/>
    <mergeCell ref="AN71:AO71"/>
    <mergeCell ref="V72:X72"/>
    <mergeCell ref="Y72:Z72"/>
    <mergeCell ref="AA72:AC72"/>
    <mergeCell ref="AG72:AJ72"/>
    <mergeCell ref="AK72:AM72"/>
    <mergeCell ref="BC73:BD73"/>
    <mergeCell ref="BE73:BG73"/>
    <mergeCell ref="AA73:AC73"/>
    <mergeCell ref="AG73:AJ73"/>
    <mergeCell ref="AK73:AM73"/>
    <mergeCell ref="AN73:AO73"/>
    <mergeCell ref="AP73:AR73"/>
    <mergeCell ref="AV73:AY73"/>
    <mergeCell ref="AZ73:BB73"/>
    <mergeCell ref="R75:U75"/>
    <mergeCell ref="V75:X75"/>
    <mergeCell ref="R73:U73"/>
    <mergeCell ref="V73:X73"/>
    <mergeCell ref="R74:U74"/>
    <mergeCell ref="V74:X74"/>
    <mergeCell ref="Y74:Z74"/>
    <mergeCell ref="AA74:AC74"/>
    <mergeCell ref="AG74:AJ74"/>
    <mergeCell ref="L75:N75"/>
    <mergeCell ref="Y75:Z75"/>
    <mergeCell ref="C74:F74"/>
    <mergeCell ref="G74:I74"/>
    <mergeCell ref="J74:K74"/>
    <mergeCell ref="L74:N74"/>
    <mergeCell ref="C75:F75"/>
    <mergeCell ref="G75:I75"/>
    <mergeCell ref="J75:K75"/>
    <mergeCell ref="AN38:AO38"/>
    <mergeCell ref="AP38:AR38"/>
    <mergeCell ref="AV38:AY38"/>
    <mergeCell ref="AZ38:BB38"/>
    <mergeCell ref="BC38:BD38"/>
    <mergeCell ref="BE38:BG38"/>
    <mergeCell ref="C39:F39"/>
    <mergeCell ref="G39:I39"/>
    <mergeCell ref="J39:K39"/>
    <mergeCell ref="L39:N39"/>
    <mergeCell ref="R39:U39"/>
    <mergeCell ref="V39:X39"/>
    <mergeCell ref="Y39:Z39"/>
    <mergeCell ref="AA39:AC39"/>
    <mergeCell ref="F50:H53"/>
    <mergeCell ref="I50:K53"/>
    <mergeCell ref="L50:N53"/>
    <mergeCell ref="R50:T53"/>
    <mergeCell ref="U50:W53"/>
    <mergeCell ref="X50:Z53"/>
    <mergeCell ref="AA50:AC53"/>
    <mergeCell ref="AG50:AI53"/>
    <mergeCell ref="AJ50:AL53"/>
    <mergeCell ref="AM50:AO53"/>
    <mergeCell ref="AV50:AX53"/>
    <mergeCell ref="AY50:BA53"/>
    <mergeCell ref="BB50:BD53"/>
    <mergeCell ref="BE50:BG53"/>
    <mergeCell ref="AU47:AU55"/>
    <mergeCell ref="AV47:BG47"/>
    <mergeCell ref="AV48:BG48"/>
    <mergeCell ref="AV49:BG49"/>
    <mergeCell ref="BH47:BH55"/>
    <mergeCell ref="C49:N49"/>
    <mergeCell ref="C54:E54"/>
    <mergeCell ref="F54:H54"/>
    <mergeCell ref="I54:K55"/>
    <mergeCell ref="L54:N55"/>
    <mergeCell ref="X54:Z55"/>
    <mergeCell ref="R49:AC49"/>
    <mergeCell ref="R56:AC56"/>
    <mergeCell ref="AA75:AC75"/>
    <mergeCell ref="R76:U76"/>
    <mergeCell ref="V76:X76"/>
    <mergeCell ref="Y76:Z76"/>
    <mergeCell ref="AA76:AC76"/>
    <mergeCell ref="R77:U77"/>
    <mergeCell ref="V77:X77"/>
    <mergeCell ref="Y77:Z77"/>
    <mergeCell ref="AA77:AC77"/>
    <mergeCell ref="P45:P83"/>
    <mergeCell ref="Q47:Q55"/>
    <mergeCell ref="R47:AC47"/>
    <mergeCell ref="AD47:AD55"/>
    <mergeCell ref="R48:AC48"/>
    <mergeCell ref="Q56:Q83"/>
    <mergeCell ref="AD56:AD83"/>
    <mergeCell ref="C59:F59"/>
    <mergeCell ref="G59:J59"/>
    <mergeCell ref="C55:H55"/>
    <mergeCell ref="R55:W55"/>
    <mergeCell ref="C58:F58"/>
    <mergeCell ref="G58:J58"/>
    <mergeCell ref="K58:N58"/>
    <mergeCell ref="R58:U58"/>
    <mergeCell ref="V58:Y58"/>
    <mergeCell ref="AG75:AJ75"/>
    <mergeCell ref="AK75:AM75"/>
    <mergeCell ref="AN75:AO75"/>
    <mergeCell ref="AP75:AR75"/>
    <mergeCell ref="AV75:AY75"/>
    <mergeCell ref="AZ75:BB75"/>
    <mergeCell ref="BC75:BD75"/>
    <mergeCell ref="BE75:BG75"/>
    <mergeCell ref="C76:F76"/>
    <mergeCell ref="G76:I76"/>
    <mergeCell ref="J76:K76"/>
    <mergeCell ref="L76:N76"/>
    <mergeCell ref="AG76:AJ76"/>
    <mergeCell ref="AK76:AM76"/>
    <mergeCell ref="C56:N56"/>
    <mergeCell ref="C57:F57"/>
    <mergeCell ref="K57:N57"/>
    <mergeCell ref="B56:B83"/>
    <mergeCell ref="G57:J57"/>
    <mergeCell ref="C77:F77"/>
    <mergeCell ref="G77:I77"/>
    <mergeCell ref="J77:K77"/>
    <mergeCell ref="L77:N77"/>
    <mergeCell ref="C78:F78"/>
    <mergeCell ref="L78:N78"/>
    <mergeCell ref="R78:U78"/>
    <mergeCell ref="V78:X78"/>
    <mergeCell ref="Y78:Z78"/>
    <mergeCell ref="AA78:AC78"/>
    <mergeCell ref="AG78:AJ78"/>
    <mergeCell ref="AK78:AM78"/>
    <mergeCell ref="AN78:AO78"/>
    <mergeCell ref="AP78:AR78"/>
    <mergeCell ref="AV78:AY78"/>
    <mergeCell ref="AZ78:BB78"/>
    <mergeCell ref="BC78:BD78"/>
    <mergeCell ref="C79:F79"/>
    <mergeCell ref="G79:I79"/>
    <mergeCell ref="AU7:AU15"/>
    <mergeCell ref="AG56:AR56"/>
    <mergeCell ref="R57:U57"/>
    <mergeCell ref="V57:Y57"/>
    <mergeCell ref="Z57:AC57"/>
    <mergeCell ref="AG57:AJ57"/>
    <mergeCell ref="AK57:AN57"/>
    <mergeCell ref="AO57:AR57"/>
    <mergeCell ref="AN76:AO76"/>
    <mergeCell ref="AP76:AR76"/>
    <mergeCell ref="AG77:AJ77"/>
    <mergeCell ref="AK77:AM77"/>
    <mergeCell ref="AN77:AO77"/>
    <mergeCell ref="AP77:AR77"/>
    <mergeCell ref="AZ77:BB77"/>
    <mergeCell ref="BC77:BD77"/>
    <mergeCell ref="AA79:AC79"/>
    <mergeCell ref="AG79:AJ79"/>
    <mergeCell ref="AK79:AM79"/>
    <mergeCell ref="AN79:AO79"/>
    <mergeCell ref="AP79:AR79"/>
    <mergeCell ref="G78:I78"/>
    <mergeCell ref="J78:K78"/>
    <mergeCell ref="J79:K79"/>
    <mergeCell ref="L79:N79"/>
    <mergeCell ref="R79:U79"/>
    <mergeCell ref="V79:X79"/>
    <mergeCell ref="Y79:Z79"/>
    <mergeCell ref="BE78:BG78"/>
    <mergeCell ref="AZ79:BB79"/>
    <mergeCell ref="BC79:BD79"/>
    <mergeCell ref="BE79:BG79"/>
    <mergeCell ref="C80:F80"/>
    <mergeCell ref="G80:I80"/>
    <mergeCell ref="J80:K80"/>
    <mergeCell ref="L80:N80"/>
    <mergeCell ref="R80:U80"/>
    <mergeCell ref="V80:X80"/>
    <mergeCell ref="Y80:Z80"/>
    <mergeCell ref="AA80:AC80"/>
    <mergeCell ref="AG80:AJ80"/>
    <mergeCell ref="AK80:AM80"/>
    <mergeCell ref="AN80:AO80"/>
    <mergeCell ref="AP80:AR80"/>
    <mergeCell ref="C81:F81"/>
    <mergeCell ref="G81:I81"/>
    <mergeCell ref="J81:K81"/>
    <mergeCell ref="L81:N81"/>
    <mergeCell ref="R81:U81"/>
    <mergeCell ref="V81:X81"/>
    <mergeCell ref="Y81:Z81"/>
    <mergeCell ref="AA81:AC81"/>
    <mergeCell ref="AG81:AJ81"/>
    <mergeCell ref="AK81:AM81"/>
    <mergeCell ref="AN81:AO81"/>
    <mergeCell ref="AP81:AR81"/>
    <mergeCell ref="C82:F82"/>
    <mergeCell ref="G82:I82"/>
    <mergeCell ref="J82:K82"/>
    <mergeCell ref="L82:N82"/>
    <mergeCell ref="R82:U82"/>
    <mergeCell ref="V82:X82"/>
    <mergeCell ref="Y82:Z82"/>
    <mergeCell ref="AA82:AC82"/>
    <mergeCell ref="AG82:AJ82"/>
    <mergeCell ref="AK82:AM82"/>
    <mergeCell ref="AN82:AO82"/>
    <mergeCell ref="AP82:AR82"/>
    <mergeCell ref="C83:F83"/>
    <mergeCell ref="G83:I83"/>
    <mergeCell ref="J83:K83"/>
    <mergeCell ref="L83:N83"/>
    <mergeCell ref="AV77:AY77"/>
    <mergeCell ref="AV79:AY79"/>
    <mergeCell ref="AU56:AU83"/>
    <mergeCell ref="AV56:BG56"/>
    <mergeCell ref="AV76:AY76"/>
    <mergeCell ref="AZ76:BB76"/>
    <mergeCell ref="BC76:BD76"/>
    <mergeCell ref="BE76:BG76"/>
    <mergeCell ref="BE77:BG77"/>
    <mergeCell ref="AV80:AY80"/>
    <mergeCell ref="AZ80:BB80"/>
    <mergeCell ref="BC80:BD80"/>
    <mergeCell ref="BE80:BG80"/>
    <mergeCell ref="AV81:AY81"/>
    <mergeCell ref="AZ81:BB81"/>
    <mergeCell ref="BC81:BD81"/>
    <mergeCell ref="BE81:BG81"/>
    <mergeCell ref="AV82:AY82"/>
    <mergeCell ref="AZ82:BB82"/>
    <mergeCell ref="BC82:BD82"/>
    <mergeCell ref="BE82:BG82"/>
    <mergeCell ref="AV83:AY83"/>
    <mergeCell ref="AZ83:BB83"/>
    <mergeCell ref="AG94:AI94"/>
    <mergeCell ref="AJ94:AL94"/>
    <mergeCell ref="AY90:BA93"/>
    <mergeCell ref="BB90:BD93"/>
    <mergeCell ref="BE90:BG93"/>
    <mergeCell ref="C94:E94"/>
    <mergeCell ref="F94:H94"/>
    <mergeCell ref="I94:K95"/>
    <mergeCell ref="L94:N95"/>
    <mergeCell ref="BH87:BH95"/>
    <mergeCell ref="C88:N88"/>
    <mergeCell ref="AV88:BG88"/>
    <mergeCell ref="R89:AC89"/>
    <mergeCell ref="AV89:BG89"/>
    <mergeCell ref="C90:E93"/>
    <mergeCell ref="F90:H93"/>
    <mergeCell ref="B87:B95"/>
    <mergeCell ref="O87:O95"/>
    <mergeCell ref="Q87:Q95"/>
    <mergeCell ref="R87:AC87"/>
    <mergeCell ref="AD87:AD95"/>
    <mergeCell ref="AU87:AU95"/>
    <mergeCell ref="R88:AC88"/>
    <mergeCell ref="G98:J98"/>
    <mergeCell ref="K98:N98"/>
    <mergeCell ref="R83:U83"/>
    <mergeCell ref="V83:X83"/>
    <mergeCell ref="C97:F97"/>
    <mergeCell ref="G97:J97"/>
    <mergeCell ref="K97:N97"/>
    <mergeCell ref="R97:U97"/>
    <mergeCell ref="C98:F98"/>
    <mergeCell ref="R98:U98"/>
    <mergeCell ref="V98:Y98"/>
    <mergeCell ref="Z98:AC98"/>
    <mergeCell ref="AG98:AJ98"/>
    <mergeCell ref="AK98:AN98"/>
    <mergeCell ref="AO98:AR98"/>
    <mergeCell ref="AV98:AY98"/>
    <mergeCell ref="AZ98:BC98"/>
    <mergeCell ref="AG99:AJ99"/>
    <mergeCell ref="AK99:AN99"/>
    <mergeCell ref="BD98:BG98"/>
    <mergeCell ref="C99:F99"/>
    <mergeCell ref="G99:J99"/>
    <mergeCell ref="K99:N99"/>
    <mergeCell ref="R99:U99"/>
    <mergeCell ref="V99:Y99"/>
    <mergeCell ref="Z99:AC99"/>
    <mergeCell ref="AO99:AR99"/>
    <mergeCell ref="AV99:AY99"/>
    <mergeCell ref="AV94:AX94"/>
    <mergeCell ref="AY94:BA94"/>
    <mergeCell ref="BB94:BD95"/>
    <mergeCell ref="BE94:BG95"/>
    <mergeCell ref="AZ99:BC99"/>
    <mergeCell ref="BD99:BG99"/>
    <mergeCell ref="AV100:AY100"/>
    <mergeCell ref="AZ100:BC100"/>
    <mergeCell ref="BD100:BG100"/>
    <mergeCell ref="AF87:AF95"/>
    <mergeCell ref="AF96:AF123"/>
    <mergeCell ref="AF85:AS86"/>
    <mergeCell ref="AT85:AT123"/>
    <mergeCell ref="AG87:AR87"/>
    <mergeCell ref="AS87:AS95"/>
    <mergeCell ref="AG88:AR88"/>
    <mergeCell ref="AG89:AR89"/>
    <mergeCell ref="AD96:AD123"/>
    <mergeCell ref="AU85:BH86"/>
    <mergeCell ref="AV87:BG87"/>
    <mergeCell ref="C87:N87"/>
    <mergeCell ref="C89:N89"/>
    <mergeCell ref="I90:K93"/>
    <mergeCell ref="L90:N93"/>
    <mergeCell ref="J112:K112"/>
    <mergeCell ref="L112:N112"/>
    <mergeCell ref="R90:T93"/>
    <mergeCell ref="U90:W93"/>
    <mergeCell ref="R112:U112"/>
    <mergeCell ref="V112:X112"/>
    <mergeCell ref="Y112:Z112"/>
    <mergeCell ref="AA112:AC112"/>
    <mergeCell ref="R96:AC96"/>
    <mergeCell ref="AG96:AR96"/>
    <mergeCell ref="AG112:AJ112"/>
    <mergeCell ref="AK112:AM112"/>
    <mergeCell ref="AN112:AO112"/>
    <mergeCell ref="AP112:AR112"/>
    <mergeCell ref="Z103:AC103"/>
    <mergeCell ref="R104:AC104"/>
    <mergeCell ref="P85:P123"/>
    <mergeCell ref="AE85:AE123"/>
    <mergeCell ref="X90:Z93"/>
    <mergeCell ref="AA90:AC93"/>
    <mergeCell ref="R94:T94"/>
    <mergeCell ref="U94:W94"/>
    <mergeCell ref="AA94:AC95"/>
    <mergeCell ref="Y83:Z83"/>
    <mergeCell ref="AA83:AC83"/>
    <mergeCell ref="AN83:AO83"/>
    <mergeCell ref="AP83:AR83"/>
    <mergeCell ref="AS96:AS123"/>
    <mergeCell ref="AU96:AU123"/>
    <mergeCell ref="AO97:AR97"/>
    <mergeCell ref="AO103:AR103"/>
    <mergeCell ref="B84:BH84"/>
    <mergeCell ref="B85:O86"/>
    <mergeCell ref="Q85:AD86"/>
    <mergeCell ref="AG83:AJ83"/>
    <mergeCell ref="AK83:AM83"/>
    <mergeCell ref="AG90:AI93"/>
    <mergeCell ref="AJ90:AL93"/>
    <mergeCell ref="AM90:AO93"/>
    <mergeCell ref="AP90:AR93"/>
    <mergeCell ref="AV90:AX93"/>
    <mergeCell ref="X94:Z95"/>
    <mergeCell ref="V97:Y97"/>
    <mergeCell ref="AG97:AJ97"/>
    <mergeCell ref="AK97:AN97"/>
    <mergeCell ref="C102:F102"/>
    <mergeCell ref="G102:J102"/>
    <mergeCell ref="K102:N102"/>
    <mergeCell ref="R111:U111"/>
    <mergeCell ref="V111:X111"/>
    <mergeCell ref="BC116:BD116"/>
    <mergeCell ref="BC117:BD117"/>
    <mergeCell ref="BC118:BD118"/>
    <mergeCell ref="AM105:AR105"/>
    <mergeCell ref="AV105:BA105"/>
    <mergeCell ref="AG102:AJ102"/>
    <mergeCell ref="AK102:AN102"/>
    <mergeCell ref="AO102:AR102"/>
    <mergeCell ref="AV102:AY102"/>
    <mergeCell ref="AZ102:BC102"/>
    <mergeCell ref="AG104:AR104"/>
    <mergeCell ref="AG105:AL105"/>
    <mergeCell ref="Z97:AC97"/>
    <mergeCell ref="Z102:AC102"/>
    <mergeCell ref="R103:U103"/>
    <mergeCell ref="V103:Y103"/>
    <mergeCell ref="R105:W105"/>
    <mergeCell ref="X105:AC105"/>
    <mergeCell ref="R106:W106"/>
    <mergeCell ref="X106:AC106"/>
    <mergeCell ref="R107:W107"/>
    <mergeCell ref="X107:AC107"/>
    <mergeCell ref="R108:W108"/>
    <mergeCell ref="X108:AC108"/>
    <mergeCell ref="R109:W109"/>
    <mergeCell ref="X109:AC109"/>
    <mergeCell ref="R102:U102"/>
    <mergeCell ref="V102:Y102"/>
    <mergeCell ref="G103:J103"/>
    <mergeCell ref="K103:N103"/>
    <mergeCell ref="AG103:AJ103"/>
    <mergeCell ref="AK103:AN103"/>
    <mergeCell ref="AM107:AR107"/>
    <mergeCell ref="AG107:AL107"/>
    <mergeCell ref="AG108:AL108"/>
    <mergeCell ref="AM108:AR108"/>
    <mergeCell ref="AG109:AL109"/>
    <mergeCell ref="AM109:AR109"/>
    <mergeCell ref="R110:AC110"/>
    <mergeCell ref="AG110:AR110"/>
    <mergeCell ref="C110:N110"/>
    <mergeCell ref="C111:F111"/>
    <mergeCell ref="G111:I111"/>
    <mergeCell ref="J111:K111"/>
    <mergeCell ref="L111:N111"/>
    <mergeCell ref="B96:B123"/>
    <mergeCell ref="C96:N96"/>
    <mergeCell ref="C100:F100"/>
    <mergeCell ref="G100:J100"/>
    <mergeCell ref="K100:N100"/>
    <mergeCell ref="G101:J101"/>
    <mergeCell ref="K101:N101"/>
    <mergeCell ref="AV110:BG110"/>
    <mergeCell ref="AV111:AY111"/>
    <mergeCell ref="AZ111:BB111"/>
    <mergeCell ref="BC111:BD111"/>
    <mergeCell ref="BE111:BG111"/>
    <mergeCell ref="BC83:BD83"/>
    <mergeCell ref="BE83:BG83"/>
    <mergeCell ref="AV96:BG96"/>
    <mergeCell ref="BH96:BH123"/>
    <mergeCell ref="AV97:AY97"/>
    <mergeCell ref="AZ97:BC97"/>
    <mergeCell ref="BD97:BG97"/>
    <mergeCell ref="AV103:AY103"/>
    <mergeCell ref="AZ103:BC103"/>
    <mergeCell ref="BD103:BG103"/>
    <mergeCell ref="AV104:BG104"/>
    <mergeCell ref="BB105:BG105"/>
    <mergeCell ref="AV106:BA106"/>
    <mergeCell ref="BB106:BG106"/>
    <mergeCell ref="AV107:BA107"/>
    <mergeCell ref="BB107:BG107"/>
    <mergeCell ref="AV108:BA108"/>
    <mergeCell ref="BB108:BG108"/>
    <mergeCell ref="AV109:BA109"/>
    <mergeCell ref="BB109:BG109"/>
    <mergeCell ref="BC113:BD113"/>
    <mergeCell ref="BE113:BG113"/>
    <mergeCell ref="BE117:BG117"/>
    <mergeCell ref="BE118:BG118"/>
    <mergeCell ref="BD101:BG101"/>
    <mergeCell ref="BD102:BG102"/>
    <mergeCell ref="BC114:BD114"/>
    <mergeCell ref="BE114:BG114"/>
    <mergeCell ref="BC115:BD115"/>
    <mergeCell ref="BE115:BG115"/>
    <mergeCell ref="BE116:BG116"/>
    <mergeCell ref="C118:F118"/>
    <mergeCell ref="G118:I118"/>
    <mergeCell ref="C117:F117"/>
    <mergeCell ref="C119:F119"/>
    <mergeCell ref="C120:F120"/>
    <mergeCell ref="G119:I119"/>
    <mergeCell ref="J119:K119"/>
    <mergeCell ref="R118:U118"/>
    <mergeCell ref="R119:U119"/>
    <mergeCell ref="G120:I120"/>
    <mergeCell ref="J120:K120"/>
    <mergeCell ref="L120:N120"/>
    <mergeCell ref="R120:U120"/>
    <mergeCell ref="O96:O123"/>
    <mergeCell ref="Q96:Q123"/>
    <mergeCell ref="G117:I117"/>
    <mergeCell ref="J117:K117"/>
    <mergeCell ref="L117:N117"/>
    <mergeCell ref="R117:U117"/>
    <mergeCell ref="L119:N119"/>
    <mergeCell ref="AM94:AO95"/>
    <mergeCell ref="AP94:AR95"/>
    <mergeCell ref="AG95:AL95"/>
    <mergeCell ref="AV95:BA95"/>
    <mergeCell ref="C95:H95"/>
    <mergeCell ref="R95:W95"/>
    <mergeCell ref="V100:Y100"/>
    <mergeCell ref="Z100:AC100"/>
    <mergeCell ref="AG100:AJ100"/>
    <mergeCell ref="AK100:AN100"/>
    <mergeCell ref="AO100:AR100"/>
    <mergeCell ref="AV101:AY101"/>
    <mergeCell ref="AZ101:BC101"/>
    <mergeCell ref="R100:U100"/>
    <mergeCell ref="R101:U101"/>
    <mergeCell ref="V101:Y101"/>
    <mergeCell ref="Z101:AC101"/>
    <mergeCell ref="AG101:AJ101"/>
    <mergeCell ref="AK101:AN101"/>
    <mergeCell ref="AO101:AR101"/>
    <mergeCell ref="AG106:AL106"/>
    <mergeCell ref="AM106:AR106"/>
    <mergeCell ref="Y111:Z111"/>
    <mergeCell ref="AA111:AC111"/>
    <mergeCell ref="AG111:AJ111"/>
    <mergeCell ref="AK111:AM111"/>
    <mergeCell ref="AP111:AR111"/>
    <mergeCell ref="V120:X120"/>
    <mergeCell ref="Y120:Z120"/>
  </mergeCells>
  <conditionalFormatting sqref="A1:BI1 A2:A123 B4:BH4 BI2:BI123 AT5:AT43 AE5:AE43 P5:P43 B44:BH44 P45:P83 AE45:AE83 AT45:AT83 B84:BH84 AE85:AE123 P85:P123 AT85:AT123 A124:BI124">
    <cfRule type="containsBlanks" dxfId="1" priority="1">
      <formula>LEN(TRIM(A1))=0</formula>
    </cfRule>
  </conditionalFormatting>
  <dataValidations>
    <dataValidation type="list" allowBlank="1" showErrorMessage="1" sqref="C8 R8 AG8 AV8 C48 R48 AG48 AV48 C88 R88 AG88 AV88">
      <formula1>"Quarto Grau,Terceiro Grau,Segundo Grau,Primeiro Grau,Grau Especial"</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7" width="3.25"/>
  </cols>
  <sheetData>
    <row r="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c r="AQ1" s="170"/>
      <c r="AR1" s="170"/>
      <c r="AS1" s="170"/>
      <c r="AT1" s="170"/>
      <c r="AU1" s="170"/>
      <c r="AV1" s="170"/>
      <c r="AW1" s="170"/>
      <c r="AX1" s="170"/>
      <c r="AY1" s="170"/>
      <c r="AZ1" s="170"/>
      <c r="BA1" s="170"/>
      <c r="BB1" s="170"/>
      <c r="BC1" s="170"/>
      <c r="BD1" s="170"/>
      <c r="BE1" s="170"/>
    </row>
    <row r="2">
      <c r="A2" s="170"/>
      <c r="B2" s="171" t="s">
        <v>98</v>
      </c>
      <c r="BE2" s="170"/>
    </row>
    <row r="3">
      <c r="A3" s="170"/>
      <c r="BE3" s="170"/>
    </row>
    <row r="4">
      <c r="A4" s="170"/>
      <c r="B4" s="172"/>
      <c r="C4" s="173" t="s">
        <v>273</v>
      </c>
      <c r="D4" s="14"/>
      <c r="E4" s="14"/>
      <c r="F4" s="14"/>
      <c r="G4" s="14"/>
      <c r="H4" s="14"/>
      <c r="I4" s="14"/>
      <c r="J4" s="15"/>
      <c r="K4" s="174"/>
      <c r="L4" s="173" t="s">
        <v>274</v>
      </c>
      <c r="M4" s="14"/>
      <c r="N4" s="14"/>
      <c r="O4" s="14"/>
      <c r="P4" s="14"/>
      <c r="Q4" s="14"/>
      <c r="R4" s="14"/>
      <c r="S4" s="15"/>
      <c r="T4" s="174"/>
      <c r="U4" s="173" t="s">
        <v>275</v>
      </c>
      <c r="V4" s="14"/>
      <c r="W4" s="14"/>
      <c r="X4" s="14"/>
      <c r="Y4" s="14"/>
      <c r="Z4" s="14"/>
      <c r="AA4" s="14"/>
      <c r="AB4" s="15"/>
      <c r="AC4" s="174"/>
      <c r="AD4" s="173" t="s">
        <v>276</v>
      </c>
      <c r="AE4" s="14"/>
      <c r="AF4" s="14"/>
      <c r="AG4" s="14"/>
      <c r="AH4" s="14"/>
      <c r="AI4" s="14"/>
      <c r="AJ4" s="14"/>
      <c r="AK4" s="15"/>
      <c r="AL4" s="174"/>
      <c r="AM4" s="173" t="s">
        <v>277</v>
      </c>
      <c r="AN4" s="14"/>
      <c r="AO4" s="14"/>
      <c r="AP4" s="14"/>
      <c r="AQ4" s="14"/>
      <c r="AR4" s="14"/>
      <c r="AS4" s="14"/>
      <c r="AT4" s="15"/>
      <c r="AU4" s="174"/>
      <c r="AV4" s="173" t="s">
        <v>278</v>
      </c>
      <c r="AW4" s="14"/>
      <c r="AX4" s="14"/>
      <c r="AY4" s="14"/>
      <c r="AZ4" s="14"/>
      <c r="BA4" s="14"/>
      <c r="BB4" s="14"/>
      <c r="BC4" s="15"/>
      <c r="BD4" s="174"/>
      <c r="BE4" s="170"/>
    </row>
    <row r="5">
      <c r="A5" s="170"/>
      <c r="B5" s="119"/>
      <c r="C5" s="175" t="s">
        <v>279</v>
      </c>
      <c r="D5" s="14"/>
      <c r="E5" s="14"/>
      <c r="F5" s="14"/>
      <c r="G5" s="14"/>
      <c r="H5" s="15"/>
      <c r="I5" s="176" t="b">
        <v>0</v>
      </c>
      <c r="J5" s="15"/>
      <c r="K5" s="119"/>
      <c r="L5" s="175" t="s">
        <v>279</v>
      </c>
      <c r="M5" s="14"/>
      <c r="N5" s="14"/>
      <c r="O5" s="14"/>
      <c r="P5" s="14"/>
      <c r="Q5" s="15"/>
      <c r="R5" s="176" t="b">
        <v>0</v>
      </c>
      <c r="S5" s="15"/>
      <c r="T5" s="119"/>
      <c r="U5" s="175" t="s">
        <v>279</v>
      </c>
      <c r="V5" s="14"/>
      <c r="W5" s="14"/>
      <c r="X5" s="14"/>
      <c r="Y5" s="14"/>
      <c r="Z5" s="15"/>
      <c r="AA5" s="176" t="b">
        <v>0</v>
      </c>
      <c r="AB5" s="15"/>
      <c r="AC5" s="119"/>
      <c r="AD5" s="175" t="s">
        <v>279</v>
      </c>
      <c r="AE5" s="14"/>
      <c r="AF5" s="14"/>
      <c r="AG5" s="14"/>
      <c r="AH5" s="14"/>
      <c r="AI5" s="15"/>
      <c r="AJ5" s="176" t="b">
        <v>0</v>
      </c>
      <c r="AK5" s="15"/>
      <c r="AL5" s="119"/>
      <c r="AM5" s="175" t="s">
        <v>279</v>
      </c>
      <c r="AN5" s="14"/>
      <c r="AO5" s="14"/>
      <c r="AP5" s="14"/>
      <c r="AQ5" s="14"/>
      <c r="AR5" s="15"/>
      <c r="AS5" s="176" t="b">
        <v>0</v>
      </c>
      <c r="AT5" s="15"/>
      <c r="AU5" s="119"/>
      <c r="AV5" s="175" t="s">
        <v>279</v>
      </c>
      <c r="AW5" s="14"/>
      <c r="AX5" s="14"/>
      <c r="AY5" s="14"/>
      <c r="AZ5" s="14"/>
      <c r="BA5" s="15"/>
      <c r="BB5" s="176" t="b">
        <v>0</v>
      </c>
      <c r="BC5" s="15"/>
      <c r="BD5" s="119"/>
      <c r="BE5" s="170"/>
    </row>
    <row r="6">
      <c r="A6" s="170"/>
      <c r="B6" s="119"/>
      <c r="C6" s="175" t="s">
        <v>280</v>
      </c>
      <c r="D6" s="14"/>
      <c r="E6" s="14"/>
      <c r="F6" s="14"/>
      <c r="G6" s="14"/>
      <c r="H6" s="15"/>
      <c r="I6" s="176" t="b">
        <v>0</v>
      </c>
      <c r="J6" s="15"/>
      <c r="K6" s="119"/>
      <c r="L6" s="175" t="s">
        <v>280</v>
      </c>
      <c r="M6" s="14"/>
      <c r="N6" s="14"/>
      <c r="O6" s="14"/>
      <c r="P6" s="14"/>
      <c r="Q6" s="15"/>
      <c r="R6" s="176" t="b">
        <v>0</v>
      </c>
      <c r="S6" s="15"/>
      <c r="T6" s="119"/>
      <c r="U6" s="175" t="s">
        <v>280</v>
      </c>
      <c r="V6" s="14"/>
      <c r="W6" s="14"/>
      <c r="X6" s="14"/>
      <c r="Y6" s="14"/>
      <c r="Z6" s="15"/>
      <c r="AA6" s="176" t="b">
        <v>0</v>
      </c>
      <c r="AB6" s="15"/>
      <c r="AC6" s="119"/>
      <c r="AD6" s="175" t="s">
        <v>280</v>
      </c>
      <c r="AE6" s="14"/>
      <c r="AF6" s="14"/>
      <c r="AG6" s="14"/>
      <c r="AH6" s="14"/>
      <c r="AI6" s="15"/>
      <c r="AJ6" s="176" t="b">
        <v>0</v>
      </c>
      <c r="AK6" s="15"/>
      <c r="AL6" s="119"/>
      <c r="AM6" s="175" t="s">
        <v>280</v>
      </c>
      <c r="AN6" s="14"/>
      <c r="AO6" s="14"/>
      <c r="AP6" s="14"/>
      <c r="AQ6" s="14"/>
      <c r="AR6" s="15"/>
      <c r="AS6" s="176" t="b">
        <v>0</v>
      </c>
      <c r="AT6" s="15"/>
      <c r="AU6" s="119"/>
      <c r="AV6" s="175" t="s">
        <v>280</v>
      </c>
      <c r="AW6" s="14"/>
      <c r="AX6" s="14"/>
      <c r="AY6" s="14"/>
      <c r="AZ6" s="14"/>
      <c r="BA6" s="15"/>
      <c r="BB6" s="176" t="b">
        <v>0</v>
      </c>
      <c r="BC6" s="15"/>
      <c r="BD6" s="119"/>
      <c r="BE6" s="170"/>
    </row>
    <row r="7">
      <c r="A7" s="170"/>
      <c r="B7" s="119"/>
      <c r="C7" s="175" t="s">
        <v>281</v>
      </c>
      <c r="D7" s="14"/>
      <c r="E7" s="14"/>
      <c r="F7" s="14"/>
      <c r="G7" s="14"/>
      <c r="H7" s="15"/>
      <c r="I7" s="176" t="b">
        <v>0</v>
      </c>
      <c r="J7" s="15"/>
      <c r="K7" s="119"/>
      <c r="L7" s="175" t="s">
        <v>281</v>
      </c>
      <c r="M7" s="14"/>
      <c r="N7" s="14"/>
      <c r="O7" s="14"/>
      <c r="P7" s="14"/>
      <c r="Q7" s="15"/>
      <c r="R7" s="176" t="b">
        <v>0</v>
      </c>
      <c r="S7" s="15"/>
      <c r="T7" s="119"/>
      <c r="U7" s="175" t="s">
        <v>281</v>
      </c>
      <c r="V7" s="14"/>
      <c r="W7" s="14"/>
      <c r="X7" s="14"/>
      <c r="Y7" s="14"/>
      <c r="Z7" s="15"/>
      <c r="AA7" s="176" t="b">
        <v>0</v>
      </c>
      <c r="AB7" s="15"/>
      <c r="AC7" s="119"/>
      <c r="AD7" s="175" t="s">
        <v>281</v>
      </c>
      <c r="AE7" s="14"/>
      <c r="AF7" s="14"/>
      <c r="AG7" s="14"/>
      <c r="AH7" s="14"/>
      <c r="AI7" s="15"/>
      <c r="AJ7" s="176" t="b">
        <v>0</v>
      </c>
      <c r="AK7" s="15"/>
      <c r="AL7" s="119"/>
      <c r="AM7" s="175" t="s">
        <v>281</v>
      </c>
      <c r="AN7" s="14"/>
      <c r="AO7" s="14"/>
      <c r="AP7" s="14"/>
      <c r="AQ7" s="14"/>
      <c r="AR7" s="15"/>
      <c r="AS7" s="176" t="b">
        <v>0</v>
      </c>
      <c r="AT7" s="15"/>
      <c r="AU7" s="119"/>
      <c r="AV7" s="175" t="s">
        <v>281</v>
      </c>
      <c r="AW7" s="14"/>
      <c r="AX7" s="14"/>
      <c r="AY7" s="14"/>
      <c r="AZ7" s="14"/>
      <c r="BA7" s="15"/>
      <c r="BB7" s="176" t="b">
        <v>0</v>
      </c>
      <c r="BC7" s="15"/>
      <c r="BD7" s="119"/>
      <c r="BE7" s="170"/>
    </row>
    <row r="8">
      <c r="A8" s="170"/>
      <c r="B8" s="119"/>
      <c r="C8" s="175" t="s">
        <v>282</v>
      </c>
      <c r="D8" s="14"/>
      <c r="E8" s="14"/>
      <c r="F8" s="14"/>
      <c r="G8" s="14"/>
      <c r="H8" s="15"/>
      <c r="I8" s="176" t="b">
        <v>0</v>
      </c>
      <c r="J8" s="15"/>
      <c r="K8" s="119"/>
      <c r="L8" s="175" t="s">
        <v>282</v>
      </c>
      <c r="M8" s="14"/>
      <c r="N8" s="14"/>
      <c r="O8" s="14"/>
      <c r="P8" s="14"/>
      <c r="Q8" s="15"/>
      <c r="R8" s="176" t="b">
        <v>0</v>
      </c>
      <c r="S8" s="15"/>
      <c r="T8" s="119"/>
      <c r="U8" s="175" t="s">
        <v>282</v>
      </c>
      <c r="V8" s="14"/>
      <c r="W8" s="14"/>
      <c r="X8" s="14"/>
      <c r="Y8" s="14"/>
      <c r="Z8" s="15"/>
      <c r="AA8" s="176" t="b">
        <v>0</v>
      </c>
      <c r="AB8" s="15"/>
      <c r="AC8" s="119"/>
      <c r="AD8" s="175" t="s">
        <v>282</v>
      </c>
      <c r="AE8" s="14"/>
      <c r="AF8" s="14"/>
      <c r="AG8" s="14"/>
      <c r="AH8" s="14"/>
      <c r="AI8" s="15"/>
      <c r="AJ8" s="176" t="b">
        <v>0</v>
      </c>
      <c r="AK8" s="15"/>
      <c r="AL8" s="119"/>
      <c r="AM8" s="175" t="s">
        <v>282</v>
      </c>
      <c r="AN8" s="14"/>
      <c r="AO8" s="14"/>
      <c r="AP8" s="14"/>
      <c r="AQ8" s="14"/>
      <c r="AR8" s="15"/>
      <c r="AS8" s="176" t="b">
        <v>0</v>
      </c>
      <c r="AT8" s="15"/>
      <c r="AU8" s="119"/>
      <c r="AV8" s="175" t="s">
        <v>282</v>
      </c>
      <c r="AW8" s="14"/>
      <c r="AX8" s="14"/>
      <c r="AY8" s="14"/>
      <c r="AZ8" s="14"/>
      <c r="BA8" s="15"/>
      <c r="BB8" s="176" t="b">
        <v>0</v>
      </c>
      <c r="BC8" s="15"/>
      <c r="BD8" s="119"/>
      <c r="BE8" s="170"/>
    </row>
    <row r="9">
      <c r="A9" s="170"/>
      <c r="B9" s="119"/>
      <c r="C9" s="177" t="s">
        <v>283</v>
      </c>
      <c r="D9" s="14"/>
      <c r="E9" s="14"/>
      <c r="F9" s="14"/>
      <c r="G9" s="14"/>
      <c r="H9" s="14"/>
      <c r="I9" s="14"/>
      <c r="J9" s="15"/>
      <c r="K9" s="119"/>
      <c r="L9" s="177" t="s">
        <v>283</v>
      </c>
      <c r="M9" s="14"/>
      <c r="N9" s="14"/>
      <c r="O9" s="14"/>
      <c r="P9" s="14"/>
      <c r="Q9" s="14"/>
      <c r="R9" s="14"/>
      <c r="S9" s="15"/>
      <c r="T9" s="119"/>
      <c r="U9" s="177" t="s">
        <v>283</v>
      </c>
      <c r="V9" s="14"/>
      <c r="W9" s="14"/>
      <c r="X9" s="14"/>
      <c r="Y9" s="14"/>
      <c r="Z9" s="14"/>
      <c r="AA9" s="14"/>
      <c r="AB9" s="15"/>
      <c r="AC9" s="119"/>
      <c r="AD9" s="177" t="s">
        <v>283</v>
      </c>
      <c r="AE9" s="14"/>
      <c r="AF9" s="14"/>
      <c r="AG9" s="14"/>
      <c r="AH9" s="14"/>
      <c r="AI9" s="14"/>
      <c r="AJ9" s="14"/>
      <c r="AK9" s="15"/>
      <c r="AL9" s="119"/>
      <c r="AM9" s="177" t="s">
        <v>283</v>
      </c>
      <c r="AN9" s="14"/>
      <c r="AO9" s="14"/>
      <c r="AP9" s="14"/>
      <c r="AQ9" s="14"/>
      <c r="AR9" s="14"/>
      <c r="AS9" s="14"/>
      <c r="AT9" s="15"/>
      <c r="AU9" s="119"/>
      <c r="AV9" s="177" t="s">
        <v>283</v>
      </c>
      <c r="AW9" s="14"/>
      <c r="AX9" s="14"/>
      <c r="AY9" s="14"/>
      <c r="AZ9" s="14"/>
      <c r="BA9" s="14"/>
      <c r="BB9" s="14"/>
      <c r="BC9" s="15"/>
      <c r="BD9" s="119"/>
      <c r="BE9" s="170"/>
    </row>
    <row r="10">
      <c r="A10" s="170"/>
      <c r="B10" s="119"/>
      <c r="C10" s="178" t="s">
        <v>284</v>
      </c>
      <c r="D10" s="8"/>
      <c r="E10" s="8"/>
      <c r="F10" s="8"/>
      <c r="G10" s="8"/>
      <c r="H10" s="8"/>
      <c r="I10" s="8"/>
      <c r="J10" s="9"/>
      <c r="K10" s="119"/>
      <c r="L10" s="179" t="s">
        <v>285</v>
      </c>
      <c r="M10" s="8"/>
      <c r="N10" s="8"/>
      <c r="O10" s="8"/>
      <c r="P10" s="8"/>
      <c r="Q10" s="8"/>
      <c r="R10" s="8"/>
      <c r="S10" s="9"/>
      <c r="T10" s="119"/>
      <c r="U10" s="179" t="s">
        <v>286</v>
      </c>
      <c r="V10" s="8"/>
      <c r="W10" s="8"/>
      <c r="X10" s="8"/>
      <c r="Y10" s="8"/>
      <c r="Z10" s="8"/>
      <c r="AA10" s="8"/>
      <c r="AB10" s="9"/>
      <c r="AC10" s="119"/>
      <c r="AD10" s="179" t="s">
        <v>287</v>
      </c>
      <c r="AE10" s="8"/>
      <c r="AF10" s="8"/>
      <c r="AG10" s="8"/>
      <c r="AH10" s="8"/>
      <c r="AI10" s="8"/>
      <c r="AJ10" s="8"/>
      <c r="AK10" s="9"/>
      <c r="AL10" s="119"/>
      <c r="AM10" s="179" t="s">
        <v>288</v>
      </c>
      <c r="AN10" s="8"/>
      <c r="AO10" s="8"/>
      <c r="AP10" s="8"/>
      <c r="AQ10" s="8"/>
      <c r="AR10" s="8"/>
      <c r="AS10" s="8"/>
      <c r="AT10" s="9"/>
      <c r="AU10" s="119"/>
      <c r="AV10" s="179" t="s">
        <v>289</v>
      </c>
      <c r="AW10" s="8"/>
      <c r="AX10" s="8"/>
      <c r="AY10" s="8"/>
      <c r="AZ10" s="8"/>
      <c r="BA10" s="8"/>
      <c r="BB10" s="8"/>
      <c r="BC10" s="9"/>
      <c r="BD10" s="119"/>
      <c r="BE10" s="170"/>
    </row>
    <row r="11">
      <c r="A11" s="170"/>
      <c r="B11" s="119"/>
      <c r="C11" s="41"/>
      <c r="J11" s="42"/>
      <c r="K11" s="119"/>
      <c r="L11" s="41"/>
      <c r="S11" s="42"/>
      <c r="T11" s="119"/>
      <c r="U11" s="41"/>
      <c r="AB11" s="42"/>
      <c r="AC11" s="119"/>
      <c r="AD11" s="41"/>
      <c r="AK11" s="42"/>
      <c r="AL11" s="119"/>
      <c r="AM11" s="41"/>
      <c r="AT11" s="42"/>
      <c r="AU11" s="119"/>
      <c r="AV11" s="41"/>
      <c r="BC11" s="42"/>
      <c r="BD11" s="119"/>
      <c r="BE11" s="170"/>
    </row>
    <row r="12">
      <c r="A12" s="170"/>
      <c r="B12" s="119"/>
      <c r="C12" s="41"/>
      <c r="J12" s="42"/>
      <c r="K12" s="119"/>
      <c r="L12" s="41"/>
      <c r="S12" s="42"/>
      <c r="T12" s="119"/>
      <c r="U12" s="41"/>
      <c r="AB12" s="42"/>
      <c r="AC12" s="119"/>
      <c r="AD12" s="41"/>
      <c r="AK12" s="42"/>
      <c r="AL12" s="119"/>
      <c r="AM12" s="41"/>
      <c r="AT12" s="42"/>
      <c r="AU12" s="119"/>
      <c r="AV12" s="41"/>
      <c r="BC12" s="42"/>
      <c r="BD12" s="119"/>
      <c r="BE12" s="170"/>
    </row>
    <row r="13">
      <c r="A13" s="170"/>
      <c r="B13" s="119"/>
      <c r="C13" s="41"/>
      <c r="J13" s="42"/>
      <c r="K13" s="119"/>
      <c r="L13" s="41"/>
      <c r="S13" s="42"/>
      <c r="T13" s="119"/>
      <c r="U13" s="41"/>
      <c r="AB13" s="42"/>
      <c r="AC13" s="119"/>
      <c r="AD13" s="41"/>
      <c r="AK13" s="42"/>
      <c r="AL13" s="119"/>
      <c r="AM13" s="41"/>
      <c r="AT13" s="42"/>
      <c r="AU13" s="119"/>
      <c r="AV13" s="41"/>
      <c r="BC13" s="42"/>
      <c r="BD13" s="119"/>
      <c r="BE13" s="170"/>
    </row>
    <row r="14">
      <c r="A14" s="170"/>
      <c r="B14" s="119"/>
      <c r="C14" s="21"/>
      <c r="D14" s="22"/>
      <c r="E14" s="22"/>
      <c r="F14" s="22"/>
      <c r="G14" s="22"/>
      <c r="H14" s="22"/>
      <c r="I14" s="22"/>
      <c r="J14" s="23"/>
      <c r="K14" s="119"/>
      <c r="L14" s="21"/>
      <c r="M14" s="22"/>
      <c r="N14" s="22"/>
      <c r="O14" s="22"/>
      <c r="P14" s="22"/>
      <c r="Q14" s="22"/>
      <c r="R14" s="22"/>
      <c r="S14" s="23"/>
      <c r="T14" s="119"/>
      <c r="U14" s="21"/>
      <c r="V14" s="22"/>
      <c r="W14" s="22"/>
      <c r="X14" s="22"/>
      <c r="Y14" s="22"/>
      <c r="Z14" s="22"/>
      <c r="AA14" s="22"/>
      <c r="AB14" s="23"/>
      <c r="AC14" s="119"/>
      <c r="AD14" s="21"/>
      <c r="AE14" s="22"/>
      <c r="AF14" s="22"/>
      <c r="AG14" s="22"/>
      <c r="AH14" s="22"/>
      <c r="AI14" s="22"/>
      <c r="AJ14" s="22"/>
      <c r="AK14" s="23"/>
      <c r="AL14" s="119"/>
      <c r="AM14" s="21"/>
      <c r="AN14" s="22"/>
      <c r="AO14" s="22"/>
      <c r="AP14" s="22"/>
      <c r="AQ14" s="22"/>
      <c r="AR14" s="22"/>
      <c r="AS14" s="22"/>
      <c r="AT14" s="23"/>
      <c r="AU14" s="119"/>
      <c r="AV14" s="21"/>
      <c r="AW14" s="22"/>
      <c r="AX14" s="22"/>
      <c r="AY14" s="22"/>
      <c r="AZ14" s="22"/>
      <c r="BA14" s="22"/>
      <c r="BB14" s="22"/>
      <c r="BC14" s="23"/>
      <c r="BD14" s="119"/>
      <c r="BE14" s="170"/>
    </row>
    <row r="15">
      <c r="A15" s="170"/>
      <c r="B15" s="3"/>
      <c r="C15" s="180"/>
      <c r="D15" s="8"/>
      <c r="E15" s="8"/>
      <c r="F15" s="8"/>
      <c r="G15" s="8"/>
      <c r="H15" s="8"/>
      <c r="I15" s="8"/>
      <c r="J15" s="9"/>
      <c r="K15" s="3"/>
      <c r="L15" s="180"/>
      <c r="M15" s="8"/>
      <c r="N15" s="8"/>
      <c r="O15" s="8"/>
      <c r="P15" s="8"/>
      <c r="Q15" s="8"/>
      <c r="R15" s="8"/>
      <c r="S15" s="9"/>
      <c r="T15" s="119"/>
      <c r="U15" s="180"/>
      <c r="V15" s="8"/>
      <c r="W15" s="8"/>
      <c r="X15" s="8"/>
      <c r="Y15" s="8"/>
      <c r="Z15" s="8"/>
      <c r="AA15" s="8"/>
      <c r="AB15" s="9"/>
      <c r="AC15" s="119"/>
      <c r="AD15" s="180"/>
      <c r="AE15" s="8"/>
      <c r="AF15" s="8"/>
      <c r="AG15" s="8"/>
      <c r="AH15" s="8"/>
      <c r="AI15" s="8"/>
      <c r="AJ15" s="8"/>
      <c r="AK15" s="9"/>
      <c r="AL15" s="119"/>
      <c r="AM15" s="180"/>
      <c r="AN15" s="8"/>
      <c r="AO15" s="8"/>
      <c r="AP15" s="8"/>
      <c r="AQ15" s="8"/>
      <c r="AR15" s="8"/>
      <c r="AS15" s="8"/>
      <c r="AT15" s="9"/>
      <c r="AU15" s="119"/>
      <c r="AV15" s="180"/>
      <c r="AW15" s="8"/>
      <c r="AX15" s="8"/>
      <c r="AY15" s="8"/>
      <c r="AZ15" s="8"/>
      <c r="BA15" s="8"/>
      <c r="BB15" s="8"/>
      <c r="BC15" s="9"/>
      <c r="BD15" s="119"/>
      <c r="BE15" s="170"/>
    </row>
    <row r="16">
      <c r="A16" s="170"/>
      <c r="B16" s="174"/>
      <c r="C16" s="173" t="s">
        <v>290</v>
      </c>
      <c r="D16" s="14"/>
      <c r="E16" s="14"/>
      <c r="F16" s="14"/>
      <c r="G16" s="14"/>
      <c r="H16" s="14"/>
      <c r="I16" s="14"/>
      <c r="J16" s="15"/>
      <c r="K16" s="174"/>
      <c r="L16" s="173" t="s">
        <v>291</v>
      </c>
      <c r="M16" s="14"/>
      <c r="N16" s="14"/>
      <c r="O16" s="14"/>
      <c r="P16" s="14"/>
      <c r="Q16" s="14"/>
      <c r="R16" s="14"/>
      <c r="S16" s="15"/>
      <c r="T16" s="174"/>
      <c r="U16" s="173" t="s">
        <v>292</v>
      </c>
      <c r="V16" s="14"/>
      <c r="W16" s="14"/>
      <c r="X16" s="14"/>
      <c r="Y16" s="14"/>
      <c r="Z16" s="14"/>
      <c r="AA16" s="14"/>
      <c r="AB16" s="15"/>
      <c r="AC16" s="174"/>
      <c r="AD16" s="173" t="s">
        <v>293</v>
      </c>
      <c r="AE16" s="14"/>
      <c r="AF16" s="14"/>
      <c r="AG16" s="14"/>
      <c r="AH16" s="14"/>
      <c r="AI16" s="14"/>
      <c r="AJ16" s="14"/>
      <c r="AK16" s="15"/>
      <c r="AL16" s="174"/>
      <c r="AM16" s="173" t="s">
        <v>294</v>
      </c>
      <c r="AN16" s="14"/>
      <c r="AO16" s="14"/>
      <c r="AP16" s="14"/>
      <c r="AQ16" s="14"/>
      <c r="AR16" s="14"/>
      <c r="AS16" s="14"/>
      <c r="AT16" s="15"/>
      <c r="AU16" s="174"/>
      <c r="AV16" s="170"/>
      <c r="AW16" s="170"/>
      <c r="AX16" s="170"/>
      <c r="AY16" s="170"/>
      <c r="AZ16" s="170"/>
      <c r="BA16" s="170"/>
      <c r="BB16" s="170"/>
      <c r="BC16" s="170"/>
      <c r="BD16" s="170"/>
      <c r="BE16" s="170"/>
    </row>
    <row r="17">
      <c r="A17" s="170"/>
      <c r="B17" s="119"/>
      <c r="C17" s="175" t="s">
        <v>279</v>
      </c>
      <c r="D17" s="14"/>
      <c r="E17" s="14"/>
      <c r="F17" s="14"/>
      <c r="G17" s="14"/>
      <c r="H17" s="15"/>
      <c r="I17" s="176" t="b">
        <v>0</v>
      </c>
      <c r="J17" s="15"/>
      <c r="K17" s="119"/>
      <c r="L17" s="175" t="s">
        <v>279</v>
      </c>
      <c r="M17" s="14"/>
      <c r="N17" s="14"/>
      <c r="O17" s="14"/>
      <c r="P17" s="14"/>
      <c r="Q17" s="15"/>
      <c r="R17" s="176" t="b">
        <v>0</v>
      </c>
      <c r="S17" s="15"/>
      <c r="T17" s="119"/>
      <c r="U17" s="175" t="s">
        <v>279</v>
      </c>
      <c r="V17" s="14"/>
      <c r="W17" s="14"/>
      <c r="X17" s="14"/>
      <c r="Y17" s="14"/>
      <c r="Z17" s="15"/>
      <c r="AA17" s="176" t="b">
        <v>0</v>
      </c>
      <c r="AB17" s="15"/>
      <c r="AC17" s="119"/>
      <c r="AD17" s="175" t="s">
        <v>279</v>
      </c>
      <c r="AE17" s="14"/>
      <c r="AF17" s="14"/>
      <c r="AG17" s="14"/>
      <c r="AH17" s="14"/>
      <c r="AI17" s="15"/>
      <c r="AJ17" s="176" t="b">
        <v>0</v>
      </c>
      <c r="AK17" s="15"/>
      <c r="AL17" s="119"/>
      <c r="AM17" s="175" t="s">
        <v>279</v>
      </c>
      <c r="AN17" s="14"/>
      <c r="AO17" s="14"/>
      <c r="AP17" s="14"/>
      <c r="AQ17" s="14"/>
      <c r="AR17" s="15"/>
      <c r="AS17" s="176" t="b">
        <v>0</v>
      </c>
      <c r="AT17" s="15"/>
      <c r="AU17" s="119"/>
      <c r="AV17" s="170"/>
    </row>
    <row r="18">
      <c r="A18" s="170"/>
      <c r="B18" s="119"/>
      <c r="C18" s="175" t="s">
        <v>280</v>
      </c>
      <c r="D18" s="14"/>
      <c r="E18" s="14"/>
      <c r="F18" s="14"/>
      <c r="G18" s="14"/>
      <c r="H18" s="15"/>
      <c r="I18" s="176" t="b">
        <v>0</v>
      </c>
      <c r="J18" s="15"/>
      <c r="K18" s="119"/>
      <c r="L18" s="175" t="s">
        <v>280</v>
      </c>
      <c r="M18" s="14"/>
      <c r="N18" s="14"/>
      <c r="O18" s="14"/>
      <c r="P18" s="14"/>
      <c r="Q18" s="15"/>
      <c r="R18" s="176" t="b">
        <v>0</v>
      </c>
      <c r="S18" s="15"/>
      <c r="T18" s="119"/>
      <c r="U18" s="175" t="s">
        <v>280</v>
      </c>
      <c r="V18" s="14"/>
      <c r="W18" s="14"/>
      <c r="X18" s="14"/>
      <c r="Y18" s="14"/>
      <c r="Z18" s="15"/>
      <c r="AA18" s="176" t="b">
        <v>0</v>
      </c>
      <c r="AB18" s="15"/>
      <c r="AC18" s="119"/>
      <c r="AD18" s="175" t="s">
        <v>280</v>
      </c>
      <c r="AE18" s="14"/>
      <c r="AF18" s="14"/>
      <c r="AG18" s="14"/>
      <c r="AH18" s="14"/>
      <c r="AI18" s="15"/>
      <c r="AJ18" s="176" t="b">
        <v>0</v>
      </c>
      <c r="AK18" s="15"/>
      <c r="AL18" s="119"/>
      <c r="AM18" s="175" t="s">
        <v>280</v>
      </c>
      <c r="AN18" s="14"/>
      <c r="AO18" s="14"/>
      <c r="AP18" s="14"/>
      <c r="AQ18" s="14"/>
      <c r="AR18" s="15"/>
      <c r="AS18" s="176" t="b">
        <v>0</v>
      </c>
      <c r="AT18" s="15"/>
      <c r="AU18" s="119"/>
      <c r="AV18" s="170"/>
    </row>
    <row r="19">
      <c r="A19" s="170"/>
      <c r="B19" s="119"/>
      <c r="C19" s="175" t="s">
        <v>281</v>
      </c>
      <c r="D19" s="14"/>
      <c r="E19" s="14"/>
      <c r="F19" s="14"/>
      <c r="G19" s="14"/>
      <c r="H19" s="15"/>
      <c r="I19" s="176" t="b">
        <v>0</v>
      </c>
      <c r="J19" s="15"/>
      <c r="K19" s="119"/>
      <c r="L19" s="175" t="s">
        <v>281</v>
      </c>
      <c r="M19" s="14"/>
      <c r="N19" s="14"/>
      <c r="O19" s="14"/>
      <c r="P19" s="14"/>
      <c r="Q19" s="15"/>
      <c r="R19" s="176" t="b">
        <v>0</v>
      </c>
      <c r="S19" s="15"/>
      <c r="T19" s="119"/>
      <c r="U19" s="175" t="s">
        <v>281</v>
      </c>
      <c r="V19" s="14"/>
      <c r="W19" s="14"/>
      <c r="X19" s="14"/>
      <c r="Y19" s="14"/>
      <c r="Z19" s="15"/>
      <c r="AA19" s="176" t="b">
        <v>0</v>
      </c>
      <c r="AB19" s="15"/>
      <c r="AC19" s="119"/>
      <c r="AD19" s="175" t="s">
        <v>281</v>
      </c>
      <c r="AE19" s="14"/>
      <c r="AF19" s="14"/>
      <c r="AG19" s="14"/>
      <c r="AH19" s="14"/>
      <c r="AI19" s="15"/>
      <c r="AJ19" s="176" t="b">
        <v>0</v>
      </c>
      <c r="AK19" s="15"/>
      <c r="AL19" s="119"/>
      <c r="AM19" s="175" t="s">
        <v>281</v>
      </c>
      <c r="AN19" s="14"/>
      <c r="AO19" s="14"/>
      <c r="AP19" s="14"/>
      <c r="AQ19" s="14"/>
      <c r="AR19" s="15"/>
      <c r="AS19" s="176" t="b">
        <v>0</v>
      </c>
      <c r="AT19" s="15"/>
      <c r="AU19" s="119"/>
      <c r="AV19" s="170"/>
    </row>
    <row r="20">
      <c r="A20" s="170"/>
      <c r="B20" s="119"/>
      <c r="C20" s="175" t="s">
        <v>282</v>
      </c>
      <c r="D20" s="14"/>
      <c r="E20" s="14"/>
      <c r="F20" s="14"/>
      <c r="G20" s="14"/>
      <c r="H20" s="15"/>
      <c r="I20" s="176" t="b">
        <v>0</v>
      </c>
      <c r="J20" s="15"/>
      <c r="K20" s="119"/>
      <c r="L20" s="175" t="s">
        <v>282</v>
      </c>
      <c r="M20" s="14"/>
      <c r="N20" s="14"/>
      <c r="O20" s="14"/>
      <c r="P20" s="14"/>
      <c r="Q20" s="15"/>
      <c r="R20" s="176" t="b">
        <v>0</v>
      </c>
      <c r="S20" s="15"/>
      <c r="T20" s="119"/>
      <c r="U20" s="175" t="s">
        <v>282</v>
      </c>
      <c r="V20" s="14"/>
      <c r="W20" s="14"/>
      <c r="X20" s="14"/>
      <c r="Y20" s="14"/>
      <c r="Z20" s="15"/>
      <c r="AA20" s="176" t="b">
        <v>0</v>
      </c>
      <c r="AB20" s="15"/>
      <c r="AC20" s="119"/>
      <c r="AD20" s="175" t="s">
        <v>282</v>
      </c>
      <c r="AE20" s="14"/>
      <c r="AF20" s="14"/>
      <c r="AG20" s="14"/>
      <c r="AH20" s="14"/>
      <c r="AI20" s="15"/>
      <c r="AJ20" s="176" t="b">
        <v>0</v>
      </c>
      <c r="AK20" s="15"/>
      <c r="AL20" s="119"/>
      <c r="AM20" s="175" t="s">
        <v>282</v>
      </c>
      <c r="AN20" s="14"/>
      <c r="AO20" s="14"/>
      <c r="AP20" s="14"/>
      <c r="AQ20" s="14"/>
      <c r="AR20" s="15"/>
      <c r="AS20" s="176" t="b">
        <v>0</v>
      </c>
      <c r="AT20" s="15"/>
      <c r="AU20" s="119"/>
      <c r="AV20" s="170"/>
    </row>
    <row r="21">
      <c r="A21" s="170"/>
      <c r="B21" s="119"/>
      <c r="C21" s="177" t="s">
        <v>283</v>
      </c>
      <c r="D21" s="14"/>
      <c r="E21" s="14"/>
      <c r="F21" s="14"/>
      <c r="G21" s="14"/>
      <c r="H21" s="14"/>
      <c r="I21" s="14"/>
      <c r="J21" s="15"/>
      <c r="K21" s="119"/>
      <c r="L21" s="177" t="s">
        <v>283</v>
      </c>
      <c r="M21" s="14"/>
      <c r="N21" s="14"/>
      <c r="O21" s="14"/>
      <c r="P21" s="14"/>
      <c r="Q21" s="14"/>
      <c r="R21" s="14"/>
      <c r="S21" s="15"/>
      <c r="T21" s="119"/>
      <c r="U21" s="177" t="s">
        <v>283</v>
      </c>
      <c r="V21" s="14"/>
      <c r="W21" s="14"/>
      <c r="X21" s="14"/>
      <c r="Y21" s="14"/>
      <c r="Z21" s="14"/>
      <c r="AA21" s="14"/>
      <c r="AB21" s="15"/>
      <c r="AC21" s="119"/>
      <c r="AD21" s="177" t="s">
        <v>283</v>
      </c>
      <c r="AE21" s="14"/>
      <c r="AF21" s="14"/>
      <c r="AG21" s="14"/>
      <c r="AH21" s="14"/>
      <c r="AI21" s="14"/>
      <c r="AJ21" s="14"/>
      <c r="AK21" s="15"/>
      <c r="AL21" s="119"/>
      <c r="AM21" s="177" t="s">
        <v>283</v>
      </c>
      <c r="AN21" s="14"/>
      <c r="AO21" s="14"/>
      <c r="AP21" s="14"/>
      <c r="AQ21" s="14"/>
      <c r="AR21" s="14"/>
      <c r="AS21" s="14"/>
      <c r="AT21" s="15"/>
      <c r="AU21" s="119"/>
      <c r="AV21" s="170"/>
    </row>
    <row r="22">
      <c r="A22" s="170"/>
      <c r="B22" s="119"/>
      <c r="C22" s="179" t="s">
        <v>295</v>
      </c>
      <c r="D22" s="8"/>
      <c r="E22" s="8"/>
      <c r="F22" s="8"/>
      <c r="G22" s="8"/>
      <c r="H22" s="8"/>
      <c r="I22" s="8"/>
      <c r="J22" s="9"/>
      <c r="K22" s="119"/>
      <c r="L22" s="179" t="s">
        <v>296</v>
      </c>
      <c r="M22" s="8"/>
      <c r="N22" s="8"/>
      <c r="O22" s="8"/>
      <c r="P22" s="8"/>
      <c r="Q22" s="8"/>
      <c r="R22" s="8"/>
      <c r="S22" s="9"/>
      <c r="T22" s="119"/>
      <c r="U22" s="179" t="s">
        <v>297</v>
      </c>
      <c r="V22" s="8"/>
      <c r="W22" s="8"/>
      <c r="X22" s="8"/>
      <c r="Y22" s="8"/>
      <c r="Z22" s="8"/>
      <c r="AA22" s="8"/>
      <c r="AB22" s="9"/>
      <c r="AC22" s="119"/>
      <c r="AD22" s="179" t="s">
        <v>298</v>
      </c>
      <c r="AE22" s="8"/>
      <c r="AF22" s="8"/>
      <c r="AG22" s="8"/>
      <c r="AH22" s="8"/>
      <c r="AI22" s="8"/>
      <c r="AJ22" s="8"/>
      <c r="AK22" s="9"/>
      <c r="AL22" s="119"/>
      <c r="AM22" s="179" t="s">
        <v>299</v>
      </c>
      <c r="AN22" s="8"/>
      <c r="AO22" s="8"/>
      <c r="AP22" s="8"/>
      <c r="AQ22" s="8"/>
      <c r="AR22" s="8"/>
      <c r="AS22" s="8"/>
      <c r="AT22" s="9"/>
      <c r="AU22" s="119"/>
      <c r="AV22" s="170"/>
    </row>
    <row r="23">
      <c r="A23" s="170"/>
      <c r="B23" s="119"/>
      <c r="C23" s="41"/>
      <c r="J23" s="42"/>
      <c r="K23" s="119"/>
      <c r="L23" s="41"/>
      <c r="S23" s="42"/>
      <c r="T23" s="119"/>
      <c r="U23" s="41"/>
      <c r="AB23" s="42"/>
      <c r="AC23" s="119"/>
      <c r="AD23" s="41"/>
      <c r="AK23" s="42"/>
      <c r="AL23" s="119"/>
      <c r="AM23" s="41"/>
      <c r="AT23" s="42"/>
      <c r="AU23" s="119"/>
      <c r="AV23" s="170"/>
    </row>
    <row r="24">
      <c r="A24" s="170"/>
      <c r="B24" s="119"/>
      <c r="C24" s="41"/>
      <c r="J24" s="42"/>
      <c r="K24" s="119"/>
      <c r="L24" s="41"/>
      <c r="S24" s="42"/>
      <c r="T24" s="119"/>
      <c r="U24" s="41"/>
      <c r="AB24" s="42"/>
      <c r="AC24" s="119"/>
      <c r="AD24" s="41"/>
      <c r="AK24" s="42"/>
      <c r="AL24" s="119"/>
      <c r="AM24" s="41"/>
      <c r="AT24" s="42"/>
      <c r="AU24" s="119"/>
      <c r="AV24" s="170"/>
    </row>
    <row r="25">
      <c r="A25" s="170"/>
      <c r="B25" s="119"/>
      <c r="C25" s="41"/>
      <c r="J25" s="42"/>
      <c r="K25" s="119"/>
      <c r="L25" s="41"/>
      <c r="S25" s="42"/>
      <c r="T25" s="119"/>
      <c r="U25" s="41"/>
      <c r="AB25" s="42"/>
      <c r="AC25" s="119"/>
      <c r="AD25" s="41"/>
      <c r="AK25" s="42"/>
      <c r="AL25" s="119"/>
      <c r="AM25" s="41"/>
      <c r="AT25" s="42"/>
      <c r="AU25" s="119"/>
      <c r="AV25" s="170"/>
    </row>
    <row r="26">
      <c r="A26" s="170"/>
      <c r="B26" s="119"/>
      <c r="C26" s="21"/>
      <c r="D26" s="22"/>
      <c r="E26" s="22"/>
      <c r="F26" s="22"/>
      <c r="G26" s="22"/>
      <c r="H26" s="22"/>
      <c r="I26" s="22"/>
      <c r="J26" s="23"/>
      <c r="K26" s="119"/>
      <c r="L26" s="21"/>
      <c r="M26" s="22"/>
      <c r="N26" s="22"/>
      <c r="O26" s="22"/>
      <c r="P26" s="22"/>
      <c r="Q26" s="22"/>
      <c r="R26" s="22"/>
      <c r="S26" s="23"/>
      <c r="T26" s="119"/>
      <c r="U26" s="21"/>
      <c r="V26" s="22"/>
      <c r="W26" s="22"/>
      <c r="X26" s="22"/>
      <c r="Y26" s="22"/>
      <c r="Z26" s="22"/>
      <c r="AA26" s="22"/>
      <c r="AB26" s="23"/>
      <c r="AC26" s="119"/>
      <c r="AD26" s="21"/>
      <c r="AE26" s="22"/>
      <c r="AF26" s="22"/>
      <c r="AG26" s="22"/>
      <c r="AH26" s="22"/>
      <c r="AI26" s="22"/>
      <c r="AJ26" s="22"/>
      <c r="AK26" s="23"/>
      <c r="AL26" s="119"/>
      <c r="AM26" s="21"/>
      <c r="AN26" s="22"/>
      <c r="AO26" s="22"/>
      <c r="AP26" s="22"/>
      <c r="AQ26" s="22"/>
      <c r="AR26" s="22"/>
      <c r="AS26" s="22"/>
      <c r="AT26" s="23"/>
      <c r="AU26" s="119"/>
      <c r="AV26" s="170"/>
    </row>
    <row r="27">
      <c r="A27" s="170"/>
      <c r="B27" s="3"/>
      <c r="C27" s="181"/>
      <c r="D27" s="8"/>
      <c r="E27" s="8"/>
      <c r="F27" s="8"/>
      <c r="G27" s="8"/>
      <c r="H27" s="8"/>
      <c r="I27" s="8"/>
      <c r="J27" s="9"/>
      <c r="K27" s="182"/>
      <c r="L27" s="183"/>
      <c r="M27" s="14"/>
      <c r="N27" s="14"/>
      <c r="O27" s="14"/>
      <c r="P27" s="14"/>
      <c r="Q27" s="14"/>
      <c r="R27" s="14"/>
      <c r="S27" s="15"/>
      <c r="T27" s="182"/>
      <c r="U27" s="183"/>
      <c r="V27" s="14"/>
      <c r="W27" s="14"/>
      <c r="X27" s="14"/>
      <c r="Y27" s="14"/>
      <c r="Z27" s="14"/>
      <c r="AA27" s="14"/>
      <c r="AB27" s="15"/>
      <c r="AC27" s="182"/>
      <c r="AD27" s="183"/>
      <c r="AE27" s="14"/>
      <c r="AF27" s="14"/>
      <c r="AG27" s="14"/>
      <c r="AH27" s="14"/>
      <c r="AI27" s="14"/>
      <c r="AJ27" s="14"/>
      <c r="AK27" s="15"/>
      <c r="AL27" s="182"/>
      <c r="AM27" s="183"/>
      <c r="AN27" s="14"/>
      <c r="AO27" s="14"/>
      <c r="AP27" s="14"/>
      <c r="AQ27" s="14"/>
      <c r="AR27" s="14"/>
      <c r="AS27" s="14"/>
      <c r="AT27" s="15"/>
      <c r="AU27" s="182"/>
      <c r="AV27" s="170"/>
    </row>
    <row r="28">
      <c r="A28" s="170"/>
      <c r="B28" s="170"/>
      <c r="C28" s="170"/>
      <c r="D28" s="170"/>
      <c r="E28" s="170"/>
      <c r="F28" s="170"/>
      <c r="G28" s="170"/>
      <c r="H28" s="170"/>
      <c r="I28" s="170"/>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row>
    <row r="29">
      <c r="B29" s="184"/>
      <c r="C29" s="184"/>
      <c r="D29" s="184"/>
      <c r="E29" s="184"/>
      <c r="F29" s="184"/>
      <c r="G29" s="184"/>
      <c r="H29" s="184"/>
      <c r="I29" s="184"/>
      <c r="J29" s="184"/>
      <c r="K29" s="184"/>
    </row>
    <row r="30">
      <c r="B30" s="184"/>
      <c r="C30" s="184"/>
      <c r="D30" s="184"/>
      <c r="E30" s="184"/>
      <c r="F30" s="184"/>
      <c r="G30" s="184"/>
      <c r="H30" s="184"/>
      <c r="I30" s="184"/>
      <c r="J30" s="184"/>
      <c r="K30" s="184"/>
    </row>
    <row r="31">
      <c r="B31" s="184"/>
      <c r="C31" s="184"/>
      <c r="D31" s="184"/>
      <c r="E31" s="184"/>
      <c r="F31" s="184"/>
      <c r="G31" s="184"/>
      <c r="H31" s="184"/>
      <c r="I31" s="184"/>
      <c r="J31" s="184"/>
      <c r="K31" s="184"/>
    </row>
    <row r="32">
      <c r="B32" s="184"/>
      <c r="C32" s="184"/>
      <c r="D32" s="184"/>
      <c r="E32" s="184"/>
      <c r="F32" s="184"/>
      <c r="G32" s="184"/>
      <c r="H32" s="184"/>
      <c r="I32" s="184"/>
      <c r="J32" s="184"/>
      <c r="K32" s="184"/>
    </row>
    <row r="33">
      <c r="B33" s="184"/>
      <c r="C33" s="184"/>
      <c r="D33" s="184"/>
      <c r="E33" s="184"/>
      <c r="F33" s="184"/>
      <c r="G33" s="184"/>
      <c r="H33" s="184"/>
      <c r="I33" s="184"/>
      <c r="J33" s="184"/>
      <c r="K33" s="184"/>
    </row>
    <row r="34">
      <c r="B34" s="184"/>
      <c r="C34" s="184"/>
      <c r="D34" s="184"/>
      <c r="E34" s="184"/>
      <c r="F34" s="184"/>
      <c r="G34" s="184"/>
      <c r="H34" s="184"/>
      <c r="I34" s="184"/>
      <c r="J34" s="184"/>
      <c r="K34" s="184"/>
    </row>
    <row r="35">
      <c r="B35" s="184"/>
      <c r="C35" s="184"/>
      <c r="D35" s="184"/>
      <c r="E35" s="184"/>
      <c r="F35" s="184"/>
      <c r="G35" s="184"/>
      <c r="H35" s="184"/>
      <c r="I35" s="184"/>
      <c r="J35" s="184"/>
      <c r="K35" s="184"/>
    </row>
    <row r="36">
      <c r="B36" s="184"/>
      <c r="C36" s="184"/>
      <c r="D36" s="184"/>
      <c r="E36" s="184"/>
      <c r="F36" s="184"/>
      <c r="G36" s="184"/>
      <c r="H36" s="184"/>
      <c r="I36" s="184"/>
      <c r="J36" s="184"/>
      <c r="K36" s="184"/>
    </row>
    <row r="37">
      <c r="B37" s="184"/>
      <c r="C37" s="184"/>
      <c r="D37" s="184"/>
      <c r="E37" s="184"/>
      <c r="F37" s="184"/>
      <c r="G37" s="184"/>
      <c r="H37" s="184"/>
      <c r="I37" s="184"/>
      <c r="J37" s="184"/>
      <c r="K37" s="184"/>
    </row>
  </sheetData>
  <mergeCells count="146">
    <mergeCell ref="U4:AB4"/>
    <mergeCell ref="AD4:AK4"/>
    <mergeCell ref="L4:S4"/>
    <mergeCell ref="AM4:AT4"/>
    <mergeCell ref="C4:J4"/>
    <mergeCell ref="AV4:BC4"/>
    <mergeCell ref="I5:J5"/>
    <mergeCell ref="L5:Q5"/>
    <mergeCell ref="R5:S5"/>
    <mergeCell ref="U5:Z5"/>
    <mergeCell ref="AA5:AB5"/>
    <mergeCell ref="AD5:AI5"/>
    <mergeCell ref="AJ5:AK5"/>
    <mergeCell ref="AM5:AR5"/>
    <mergeCell ref="AS5:AT5"/>
    <mergeCell ref="AV5:BA5"/>
    <mergeCell ref="K4:K15"/>
    <mergeCell ref="I6:J6"/>
    <mergeCell ref="L6:Q6"/>
    <mergeCell ref="R6:S6"/>
    <mergeCell ref="L9:S9"/>
    <mergeCell ref="L10:S14"/>
    <mergeCell ref="L15:S15"/>
    <mergeCell ref="U6:Z6"/>
    <mergeCell ref="AA6:AB6"/>
    <mergeCell ref="U9:AB9"/>
    <mergeCell ref="U10:AB14"/>
    <mergeCell ref="U15:AB15"/>
    <mergeCell ref="AD6:AI6"/>
    <mergeCell ref="AJ6:AK6"/>
    <mergeCell ref="AD9:AK9"/>
    <mergeCell ref="AD10:AK14"/>
    <mergeCell ref="AD15:AK15"/>
    <mergeCell ref="AM6:AR6"/>
    <mergeCell ref="AS6:AT6"/>
    <mergeCell ref="AS8:AT8"/>
    <mergeCell ref="AM9:AT9"/>
    <mergeCell ref="AM10:AT14"/>
    <mergeCell ref="AM15:AT15"/>
    <mergeCell ref="AV6:BA6"/>
    <mergeCell ref="BB6:BC6"/>
    <mergeCell ref="AV8:BA8"/>
    <mergeCell ref="BB8:BC8"/>
    <mergeCell ref="AV9:BC9"/>
    <mergeCell ref="AV10:BC14"/>
    <mergeCell ref="AV15:BC15"/>
    <mergeCell ref="BB7:BC7"/>
    <mergeCell ref="I8:J8"/>
    <mergeCell ref="L8:Q8"/>
    <mergeCell ref="R8:S8"/>
    <mergeCell ref="U8:Z8"/>
    <mergeCell ref="AA8:AB8"/>
    <mergeCell ref="AD8:AI8"/>
    <mergeCell ref="C9:J9"/>
    <mergeCell ref="C10:J14"/>
    <mergeCell ref="B2:BD3"/>
    <mergeCell ref="T4:T15"/>
    <mergeCell ref="AC4:AC15"/>
    <mergeCell ref="AL4:AL15"/>
    <mergeCell ref="AU4:AU15"/>
    <mergeCell ref="BD4:BD15"/>
    <mergeCell ref="BB5:BC5"/>
    <mergeCell ref="C15:J15"/>
    <mergeCell ref="AM18:AR18"/>
    <mergeCell ref="AJ19:AK19"/>
    <mergeCell ref="AM19:AR19"/>
    <mergeCell ref="AD20:AI20"/>
    <mergeCell ref="AJ20:AK20"/>
    <mergeCell ref="AS19:AT19"/>
    <mergeCell ref="AM20:AR20"/>
    <mergeCell ref="AS20:AT20"/>
    <mergeCell ref="AD21:AK21"/>
    <mergeCell ref="AD22:AK26"/>
    <mergeCell ref="AD27:AK27"/>
    <mergeCell ref="AA7:AB7"/>
    <mergeCell ref="AD7:AI7"/>
    <mergeCell ref="AD16:AK16"/>
    <mergeCell ref="AL16:AL26"/>
    <mergeCell ref="AD17:AI17"/>
    <mergeCell ref="AJ17:AK17"/>
    <mergeCell ref="AJ18:AK18"/>
    <mergeCell ref="AM21:AT21"/>
    <mergeCell ref="AM22:AT26"/>
    <mergeCell ref="AM27:AT27"/>
    <mergeCell ref="AJ8:AK8"/>
    <mergeCell ref="AM8:AR8"/>
    <mergeCell ref="AM16:AT16"/>
    <mergeCell ref="AU16:AU26"/>
    <mergeCell ref="AM17:AR17"/>
    <mergeCell ref="AS17:AT17"/>
    <mergeCell ref="AS18:AT18"/>
    <mergeCell ref="R7:S7"/>
    <mergeCell ref="U7:Z7"/>
    <mergeCell ref="U16:AB16"/>
    <mergeCell ref="AC16:AC26"/>
    <mergeCell ref="U17:Z17"/>
    <mergeCell ref="AA17:AB17"/>
    <mergeCell ref="AA19:AB19"/>
    <mergeCell ref="U21:AB21"/>
    <mergeCell ref="I7:J7"/>
    <mergeCell ref="L7:Q7"/>
    <mergeCell ref="L16:S16"/>
    <mergeCell ref="T16:T26"/>
    <mergeCell ref="I17:J17"/>
    <mergeCell ref="R17:S17"/>
    <mergeCell ref="I18:J18"/>
    <mergeCell ref="U18:Z18"/>
    <mergeCell ref="AA18:AB18"/>
    <mergeCell ref="I19:J19"/>
    <mergeCell ref="L19:Q19"/>
    <mergeCell ref="R19:S19"/>
    <mergeCell ref="U19:Z19"/>
    <mergeCell ref="I20:J20"/>
    <mergeCell ref="L20:Q20"/>
    <mergeCell ref="R18:S18"/>
    <mergeCell ref="R20:S20"/>
    <mergeCell ref="U20:Z20"/>
    <mergeCell ref="AA20:AB20"/>
    <mergeCell ref="U27:AB27"/>
    <mergeCell ref="L21:S21"/>
    <mergeCell ref="L22:S26"/>
    <mergeCell ref="L27:S27"/>
    <mergeCell ref="C22:J26"/>
    <mergeCell ref="C27:J27"/>
    <mergeCell ref="B4:B15"/>
    <mergeCell ref="C5:H5"/>
    <mergeCell ref="C6:H6"/>
    <mergeCell ref="C7:H7"/>
    <mergeCell ref="C8:H8"/>
    <mergeCell ref="B16:B27"/>
    <mergeCell ref="K16:K26"/>
    <mergeCell ref="AJ7:AK7"/>
    <mergeCell ref="AM7:AR7"/>
    <mergeCell ref="AS7:AT7"/>
    <mergeCell ref="AV7:BA7"/>
    <mergeCell ref="C16:J16"/>
    <mergeCell ref="C17:H17"/>
    <mergeCell ref="L17:Q17"/>
    <mergeCell ref="L18:Q18"/>
    <mergeCell ref="C18:H18"/>
    <mergeCell ref="C19:H19"/>
    <mergeCell ref="AD18:AI18"/>
    <mergeCell ref="AD19:AI19"/>
    <mergeCell ref="U22:AB26"/>
    <mergeCell ref="C20:H20"/>
    <mergeCell ref="C21:J21"/>
  </mergeCells>
  <drawing r:id="rId2"/>
  <legacyDrawing r:id="rId3"/>
</worksheet>
</file>